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H\Desktop\baboon-stress\data-paper\"/>
    </mc:Choice>
  </mc:AlternateContent>
  <xr:revisionPtr revIDLastSave="0" documentId="13_ncr:1_{A29CBAEE-A50E-4747-8523-FE3DEFEB1667}" xr6:coauthVersionLast="47" xr6:coauthVersionMax="47" xr10:uidLastSave="{00000000-0000-0000-0000-000000000000}"/>
  <bookViews>
    <workbookView xWindow="7875" yWindow="2655" windowWidth="16320" windowHeight="13275" tabRatio="722" activeTab="1" xr2:uid="{3123FED7-B888-4F1E-8E92-D9323FB0CFC3}"/>
  </bookViews>
  <sheets>
    <sheet name="female-breadths" sheetId="10" r:id="rId1"/>
    <sheet name="female-lengths" sheetId="11" r:id="rId2"/>
    <sheet name="male-breadths" sheetId="13" r:id="rId3"/>
    <sheet name="male-lengths" sheetId="1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10" l="1"/>
  <c r="N6" i="13"/>
  <c r="Z4" i="13"/>
  <c r="X4" i="13"/>
  <c r="Y4" i="13" s="1"/>
  <c r="V4" i="13"/>
  <c r="T4" i="13"/>
  <c r="S4" i="13" s="1"/>
  <c r="Q4" i="13"/>
  <c r="R4" i="13" s="1"/>
  <c r="U4" i="13" s="1"/>
  <c r="O4" i="13"/>
  <c r="P4" i="13" s="1"/>
  <c r="M4" i="13"/>
  <c r="N4" i="13" s="1"/>
  <c r="Z3" i="13"/>
  <c r="X3" i="13"/>
  <c r="Y3" i="13" s="1"/>
  <c r="V3" i="13"/>
  <c r="T3" i="13"/>
  <c r="S3" i="13"/>
  <c r="Q3" i="13"/>
  <c r="R3" i="13" s="1"/>
  <c r="O3" i="13"/>
  <c r="P3" i="13" s="1"/>
  <c r="M3" i="13"/>
  <c r="N3" i="13" s="1"/>
  <c r="Z5" i="13"/>
  <c r="X5" i="13"/>
  <c r="Y5" i="13" s="1"/>
  <c r="V5" i="13"/>
  <c r="T5" i="13"/>
  <c r="S5" i="13" s="1"/>
  <c r="Q5" i="13"/>
  <c r="R5" i="13" s="1"/>
  <c r="O5" i="13"/>
  <c r="P5" i="13" s="1"/>
  <c r="M5" i="13"/>
  <c r="N5" i="13" s="1"/>
  <c r="Z8" i="13"/>
  <c r="X8" i="13"/>
  <c r="Y8" i="13" s="1"/>
  <c r="V8" i="13"/>
  <c r="T8" i="13"/>
  <c r="S8" i="13" s="1"/>
  <c r="Q8" i="13"/>
  <c r="R8" i="13" s="1"/>
  <c r="O8" i="13"/>
  <c r="P8" i="13" s="1"/>
  <c r="M8" i="13"/>
  <c r="N8" i="13" s="1"/>
  <c r="Z2" i="13"/>
  <c r="X2" i="13"/>
  <c r="Y2" i="13" s="1"/>
  <c r="V2" i="13"/>
  <c r="T2" i="13"/>
  <c r="S2" i="13" s="1"/>
  <c r="Q2" i="13"/>
  <c r="R2" i="13" s="1"/>
  <c r="O2" i="13"/>
  <c r="P2" i="13" s="1"/>
  <c r="M2" i="13"/>
  <c r="N2" i="13" s="1"/>
  <c r="Z9" i="13"/>
  <c r="X9" i="13"/>
  <c r="Y9" i="13" s="1"/>
  <c r="V9" i="13"/>
  <c r="T9" i="13"/>
  <c r="S9" i="13" s="1"/>
  <c r="Q9" i="13"/>
  <c r="R9" i="13" s="1"/>
  <c r="O9" i="13"/>
  <c r="P9" i="13" s="1"/>
  <c r="M9" i="13"/>
  <c r="N9" i="13" s="1"/>
  <c r="Z10" i="13"/>
  <c r="X10" i="13"/>
  <c r="Y10" i="13" s="1"/>
  <c r="V10" i="13"/>
  <c r="T10" i="13"/>
  <c r="S10" i="13" s="1"/>
  <c r="Q10" i="13"/>
  <c r="R10" i="13" s="1"/>
  <c r="O10" i="13"/>
  <c r="P10" i="13" s="1"/>
  <c r="M10" i="13"/>
  <c r="N10" i="13" s="1"/>
  <c r="Z6" i="13"/>
  <c r="X6" i="13"/>
  <c r="Y6" i="13" s="1"/>
  <c r="V6" i="13"/>
  <c r="T6" i="13"/>
  <c r="S6" i="13" s="1"/>
  <c r="Q6" i="13"/>
  <c r="R6" i="13" s="1"/>
  <c r="O6" i="13"/>
  <c r="P6" i="13" s="1"/>
  <c r="M6" i="13"/>
  <c r="Z7" i="13"/>
  <c r="X7" i="13"/>
  <c r="Y7" i="13" s="1"/>
  <c r="V7" i="13"/>
  <c r="T7" i="13"/>
  <c r="S7" i="13" s="1"/>
  <c r="Q7" i="13"/>
  <c r="R7" i="13" s="1"/>
  <c r="O7" i="13"/>
  <c r="P7" i="13" s="1"/>
  <c r="M7" i="13"/>
  <c r="N7" i="13" s="1"/>
  <c r="Z6" i="10"/>
  <c r="X6" i="10"/>
  <c r="Y6" i="10" s="1"/>
  <c r="V6" i="10"/>
  <c r="T6" i="10"/>
  <c r="S6" i="10" s="1"/>
  <c r="Q6" i="10"/>
  <c r="R6" i="10" s="1"/>
  <c r="O6" i="10"/>
  <c r="P6" i="10" s="1"/>
  <c r="M6" i="10"/>
  <c r="Z9" i="10"/>
  <c r="X9" i="10"/>
  <c r="Y9" i="10" s="1"/>
  <c r="V9" i="10"/>
  <c r="T9" i="10"/>
  <c r="S9" i="10" s="1"/>
  <c r="Q9" i="10"/>
  <c r="R9" i="10" s="1"/>
  <c r="O9" i="10"/>
  <c r="P9" i="10" s="1"/>
  <c r="M9" i="10"/>
  <c r="N9" i="10" s="1"/>
  <c r="Z7" i="10"/>
  <c r="X7" i="10"/>
  <c r="Y7" i="10" s="1"/>
  <c r="V7" i="10"/>
  <c r="T7" i="10"/>
  <c r="S7" i="10" s="1"/>
  <c r="Q7" i="10"/>
  <c r="R7" i="10" s="1"/>
  <c r="O7" i="10"/>
  <c r="P7" i="10" s="1"/>
  <c r="M7" i="10"/>
  <c r="N7" i="10" s="1"/>
  <c r="Z2" i="10"/>
  <c r="X2" i="10"/>
  <c r="Y2" i="10" s="1"/>
  <c r="V2" i="10"/>
  <c r="T2" i="10"/>
  <c r="S2" i="10" s="1"/>
  <c r="Q2" i="10"/>
  <c r="R2" i="10" s="1"/>
  <c r="O2" i="10"/>
  <c r="P2" i="10" s="1"/>
  <c r="M2" i="10"/>
  <c r="N2" i="10" s="1"/>
  <c r="Z4" i="10"/>
  <c r="X4" i="10"/>
  <c r="Y4" i="10" s="1"/>
  <c r="V4" i="10"/>
  <c r="T4" i="10"/>
  <c r="S4" i="10" s="1"/>
  <c r="Q4" i="10"/>
  <c r="R4" i="10" s="1"/>
  <c r="O4" i="10"/>
  <c r="P4" i="10" s="1"/>
  <c r="M4" i="10"/>
  <c r="N4" i="10" s="1"/>
  <c r="Z3" i="10"/>
  <c r="X3" i="10"/>
  <c r="Y3" i="10" s="1"/>
  <c r="V3" i="10"/>
  <c r="T3" i="10"/>
  <c r="S3" i="10" s="1"/>
  <c r="Q3" i="10"/>
  <c r="R3" i="10" s="1"/>
  <c r="O3" i="10"/>
  <c r="P3" i="10" s="1"/>
  <c r="M3" i="10"/>
  <c r="N3" i="10" s="1"/>
  <c r="Z5" i="10"/>
  <c r="X5" i="10"/>
  <c r="Y5" i="10" s="1"/>
  <c r="V5" i="10"/>
  <c r="T5" i="10"/>
  <c r="S5" i="10" s="1"/>
  <c r="Q5" i="10"/>
  <c r="R5" i="10" s="1"/>
  <c r="O5" i="10"/>
  <c r="P5" i="10" s="1"/>
  <c r="M5" i="10"/>
  <c r="N5" i="10" s="1"/>
  <c r="Z10" i="10"/>
  <c r="X10" i="10"/>
  <c r="Y10" i="10" s="1"/>
  <c r="V10" i="10"/>
  <c r="T10" i="10"/>
  <c r="S10" i="10" s="1"/>
  <c r="Q10" i="10"/>
  <c r="R10" i="10" s="1"/>
  <c r="O10" i="10"/>
  <c r="P10" i="10" s="1"/>
  <c r="M10" i="10"/>
  <c r="N10" i="10" s="1"/>
  <c r="Z8" i="10"/>
  <c r="X8" i="10"/>
  <c r="Y8" i="10" s="1"/>
  <c r="V8" i="10"/>
  <c r="T8" i="10"/>
  <c r="S8" i="10" s="1"/>
  <c r="Q8" i="10"/>
  <c r="R8" i="10" s="1"/>
  <c r="O8" i="10"/>
  <c r="P8" i="10" s="1"/>
  <c r="M8" i="10"/>
  <c r="N8" i="10" s="1"/>
  <c r="U7" i="13" l="1"/>
  <c r="U7" i="10"/>
  <c r="U5" i="10"/>
  <c r="U8" i="13"/>
  <c r="U10" i="13"/>
  <c r="U3" i="13"/>
  <c r="U2" i="13"/>
  <c r="U6" i="13"/>
  <c r="U5" i="13"/>
  <c r="U9" i="13"/>
  <c r="U8" i="10"/>
  <c r="U10" i="10"/>
  <c r="U2" i="10"/>
  <c r="U3" i="10"/>
  <c r="U9" i="10"/>
  <c r="U4" i="10"/>
  <c r="U6" i="10"/>
</calcChain>
</file>

<file path=xl/sharedStrings.xml><?xml version="1.0" encoding="utf-8"?>
<sst xmlns="http://schemas.openxmlformats.org/spreadsheetml/2006/main" count="179" uniqueCount="40">
  <si>
    <t>sheet</t>
  </si>
  <si>
    <t>tooth</t>
  </si>
  <si>
    <t>blank_1</t>
  </si>
  <si>
    <t>sides_ms</t>
  </si>
  <si>
    <t>sides_df</t>
  </si>
  <si>
    <t>ind_ms</t>
  </si>
  <si>
    <t>ind_df</t>
  </si>
  <si>
    <t>sxi_ms</t>
  </si>
  <si>
    <t>sxi_df</t>
  </si>
  <si>
    <t>me_ms</t>
  </si>
  <si>
    <t>me_df</t>
  </si>
  <si>
    <t>blank_2</t>
  </si>
  <si>
    <t>sides_f</t>
  </si>
  <si>
    <t>sides_p</t>
  </si>
  <si>
    <t>ind_f</t>
  </si>
  <si>
    <t>ind_p</t>
  </si>
  <si>
    <t>fa_me_f</t>
  </si>
  <si>
    <t>fa_me_p</t>
  </si>
  <si>
    <t>anova_bonf</t>
  </si>
  <si>
    <t>anova_rank</t>
  </si>
  <si>
    <t>anova_alpha</t>
  </si>
  <si>
    <t>pct_me</t>
  </si>
  <si>
    <t>blank_3</t>
  </si>
  <si>
    <t>n_reps</t>
  </si>
  <si>
    <t>fa10_noME</t>
  </si>
  <si>
    <t>fa10_df</t>
  </si>
  <si>
    <t>*</t>
  </si>
  <si>
    <t>female-breadths</t>
  </si>
  <si>
    <t>female-lengths</t>
  </si>
  <si>
    <t>male-breadths</t>
  </si>
  <si>
    <t>male-lengths</t>
  </si>
  <si>
    <t>mxp4</t>
  </si>
  <si>
    <t>mnp4</t>
  </si>
  <si>
    <t>mxp3</t>
  </si>
  <si>
    <t>mxm3</t>
  </si>
  <si>
    <t>mnm3</t>
  </si>
  <si>
    <t>mnm1</t>
  </si>
  <si>
    <t>mxm1</t>
  </si>
  <si>
    <t>mnm2</t>
  </si>
  <si>
    <t>mxm2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</si>
</sst>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"/>
  </numFmts>
  <fonts count="3">
    <font>
      <sz val="11"/>
      <color theme="1"/>
      <name val="Times New Roman"/>
      <family val="2"/>
    </font>
    <font>
      <sz val="11"/>
      <color theme="1"/>
      <name val="Times New Roman"/>
      <family val="1"/>
    </font>
    <font>
      <sz val="10"/>
      <color indexed="10"/>
      <name val="Gene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0" fillId="0" borderId="0" xfId="0" applyNumberFormat="1"/>
    <xf numFmtId="165" fontId="0" fillId="0" borderId="0" xfId="0" applyNumberFormat="1" applyAlignment="1">
      <alignment horizontal="right" vertical="center"/>
    </xf>
    <xf numFmtId="165" fontId="0" fillId="0" borderId="0" xfId="0" applyNumberFormat="1"/>
    <xf numFmtId="0" fontId="1" fillId="0" borderId="0" xfId="0" applyFont="1"/>
    <xf numFmtId="2" fontId="2" fillId="0" borderId="0" xfId="0" applyNumberFormat="1" applyFont="1"/>
    <xf numFmtId="0" fontId="2" fillId="0" borderId="0" xfId="0" applyFont="1"/>
    <xf numFmtId="165" fontId="2" fillId="0" borderId="0" xfId="0" applyNumberFormat="1" applyFont="1"/>
    <xf numFmtId="1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D2B6B-8F9B-42F5-A6A5-8DA24D60ACED}">
  <dimension ref="A1:Z68"/>
  <sheetViews>
    <sheetView workbookViewId="0">
      <selection activeCell="Y2" sqref="Y2:Y10"/>
    </sheetView>
  </sheetViews>
  <sheetFormatPr defaultColWidth="6.42578125" defaultRowHeight="15"/>
  <cols>
    <col min="1" max="1" width="14.7109375" bestFit="1" customWidth="1"/>
    <col min="2" max="2" width="7.140625" bestFit="1" customWidth="1"/>
    <col min="3" max="3" width="7.5703125" bestFit="1" customWidth="1"/>
    <col min="4" max="4" width="7.28515625" bestFit="1" customWidth="1"/>
    <col min="5" max="5" width="14.28515625" bestFit="1" customWidth="1"/>
    <col min="6" max="6" width="8.7109375" bestFit="1" customWidth="1"/>
    <col min="7" max="7" width="10.42578125" bestFit="1" customWidth="1"/>
    <col min="8" max="9" width="7" bestFit="1" customWidth="1"/>
    <col min="10" max="10" width="6.5703125" bestFit="1" customWidth="1"/>
    <col min="11" max="11" width="7.5703125" style="6" bestFit="1" customWidth="1"/>
    <col min="12" max="12" width="7.28515625" bestFit="1" customWidth="1"/>
    <col min="14" max="14" width="6.140625" style="4" bestFit="1" customWidth="1"/>
    <col min="25" max="25" width="11" bestFit="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s="9" customFormat="1">
      <c r="A2" s="7" t="s">
        <v>27</v>
      </c>
      <c r="B2" s="7" t="s">
        <v>36</v>
      </c>
      <c r="C2" s="7"/>
      <c r="D2" s="7">
        <v>2.3624000000000001</v>
      </c>
      <c r="E2" s="7">
        <v>1</v>
      </c>
      <c r="F2" s="7">
        <v>3.117</v>
      </c>
      <c r="G2" s="7">
        <v>19</v>
      </c>
      <c r="H2" s="7">
        <v>7.1400000000000005E-2</v>
      </c>
      <c r="I2" s="7">
        <v>19</v>
      </c>
      <c r="J2" s="7">
        <v>8.633E-3</v>
      </c>
      <c r="K2" s="7">
        <v>360</v>
      </c>
      <c r="L2"/>
      <c r="M2" s="8">
        <f t="shared" ref="M2:M10" si="0">$D2/$H2</f>
        <v>33.086834733893554</v>
      </c>
      <c r="N2" s="9">
        <f t="shared" ref="N2:N10" si="1">FDIST(M2,$E2,$I2)</f>
        <v>1.5254999919187464E-5</v>
      </c>
      <c r="O2" s="8">
        <f t="shared" ref="O2:O10" si="2">$F2/$H2</f>
        <v>43.655462184873947</v>
      </c>
      <c r="P2" s="9">
        <f t="shared" ref="P2:P10" si="3">FDIST(O2,$G2,$I2)</f>
        <v>8.4348220898194764E-12</v>
      </c>
      <c r="Q2" s="8">
        <f t="shared" ref="Q2:Q10" si="4">$H2/$J2</f>
        <v>8.270589598053979</v>
      </c>
      <c r="R2" s="9">
        <f t="shared" ref="R2:R10" si="5">FDIST(Q2,$I2,$K2)</f>
        <v>3.3520632771249814E-19</v>
      </c>
      <c r="S2" s="10">
        <f t="shared" ref="S2:S10" si="6">$G$4/T2</f>
        <v>1</v>
      </c>
      <c r="T2" s="11">
        <f t="shared" ref="T2:T10" si="7">IF(ROW(T2)&gt;10,T1-1,$I$4)</f>
        <v>19</v>
      </c>
      <c r="U2" s="12" t="str">
        <f t="shared" ref="U2:U10" si="8">IF(ROW(U2)&gt;$K$4,IF(AND(R2&lt;S2,LEN(U1)=1),"*","n.s."),IF(R2&lt;S2,"*","n.s."))</f>
        <v>*</v>
      </c>
      <c r="V2" s="8">
        <f t="shared" ref="V2:V10" si="9">100*$J2/$H2</f>
        <v>12.091036414565824</v>
      </c>
      <c r="X2" s="13">
        <f t="shared" ref="X2:X10" si="10">($K2/(($E2+1)*($G2+1)))+1</f>
        <v>10</v>
      </c>
      <c r="Y2" s="12">
        <f t="shared" ref="Y2:Y10" si="11">($H2-$J2)/X2</f>
        <v>6.2767000000000005E-3</v>
      </c>
      <c r="Z2" s="14">
        <f t="shared" ref="Z2:Z10" si="12">(($H2-$J2)*($H2-$J2))/((($H2*$H2)/$I2)+(($J2*$J2)/$K2))</f>
        <v>14.671852734405077</v>
      </c>
    </row>
    <row r="3" spans="1:26" s="9" customFormat="1">
      <c r="A3" s="7" t="s">
        <v>27</v>
      </c>
      <c r="B3" s="7" t="s">
        <v>38</v>
      </c>
      <c r="C3" s="7"/>
      <c r="D3" s="7">
        <v>3.1126</v>
      </c>
      <c r="E3" s="7">
        <v>1</v>
      </c>
      <c r="F3" s="7">
        <v>4.4950000000000001</v>
      </c>
      <c r="G3" s="7">
        <v>15</v>
      </c>
      <c r="H3" s="7">
        <v>0.11650000000000001</v>
      </c>
      <c r="I3" s="7">
        <v>15</v>
      </c>
      <c r="J3" s="7">
        <v>1.193E-2</v>
      </c>
      <c r="K3" s="7">
        <v>288</v>
      </c>
      <c r="L3"/>
      <c r="M3" s="8">
        <f t="shared" si="0"/>
        <v>26.717596566523603</v>
      </c>
      <c r="N3" s="9">
        <f t="shared" si="1"/>
        <v>1.1436419904548688E-4</v>
      </c>
      <c r="O3" s="8">
        <f t="shared" si="2"/>
        <v>38.583690987124463</v>
      </c>
      <c r="P3" s="9">
        <f t="shared" si="3"/>
        <v>2.9931553798152613E-9</v>
      </c>
      <c r="Q3" s="8">
        <f t="shared" si="4"/>
        <v>9.765297569153395</v>
      </c>
      <c r="R3" s="9">
        <f t="shared" si="5"/>
        <v>1.2153820543423045E-18</v>
      </c>
      <c r="S3" s="10">
        <f t="shared" si="6"/>
        <v>1</v>
      </c>
      <c r="T3" s="11">
        <f t="shared" si="7"/>
        <v>19</v>
      </c>
      <c r="U3" s="12" t="str">
        <f t="shared" si="8"/>
        <v>*</v>
      </c>
      <c r="V3" s="8">
        <f t="shared" si="9"/>
        <v>10.240343347639485</v>
      </c>
      <c r="X3" s="13">
        <f t="shared" si="10"/>
        <v>10</v>
      </c>
      <c r="Y3" s="12">
        <f t="shared" si="11"/>
        <v>1.0457000000000001E-2</v>
      </c>
      <c r="Z3" s="14">
        <f t="shared" si="12"/>
        <v>12.078596976724674</v>
      </c>
    </row>
    <row r="4" spans="1:26" s="9" customFormat="1">
      <c r="A4" s="7" t="s">
        <v>27</v>
      </c>
      <c r="B4" s="7" t="s">
        <v>35</v>
      </c>
      <c r="C4" s="7"/>
      <c r="D4" s="7">
        <v>3.7690000000000001</v>
      </c>
      <c r="E4" s="7">
        <v>1</v>
      </c>
      <c r="F4" s="7">
        <v>7.4850000000000003</v>
      </c>
      <c r="G4" s="7">
        <v>19</v>
      </c>
      <c r="H4" s="7">
        <v>0.10299999999999999</v>
      </c>
      <c r="I4" s="7">
        <v>19</v>
      </c>
      <c r="J4" s="7">
        <v>1.738E-2</v>
      </c>
      <c r="K4" s="7">
        <v>360</v>
      </c>
      <c r="L4"/>
      <c r="M4" s="8">
        <f t="shared" si="0"/>
        <v>36.592233009708742</v>
      </c>
      <c r="N4" s="9">
        <f t="shared" si="1"/>
        <v>8.09082417611592E-6</v>
      </c>
      <c r="O4" s="8">
        <f t="shared" si="2"/>
        <v>72.669902912621367</v>
      </c>
      <c r="P4" s="9">
        <f t="shared" si="3"/>
        <v>7.7720934117066559E-14</v>
      </c>
      <c r="Q4" s="8">
        <f t="shared" si="4"/>
        <v>5.9263521288837744</v>
      </c>
      <c r="R4" s="9">
        <f t="shared" si="5"/>
        <v>4.8806082586946801E-13</v>
      </c>
      <c r="S4" s="10">
        <f t="shared" si="6"/>
        <v>1</v>
      </c>
      <c r="T4" s="11">
        <f t="shared" si="7"/>
        <v>19</v>
      </c>
      <c r="U4" s="12" t="str">
        <f t="shared" si="8"/>
        <v>*</v>
      </c>
      <c r="V4" s="8">
        <f t="shared" si="9"/>
        <v>16.873786407766993</v>
      </c>
      <c r="X4" s="13">
        <f t="shared" si="10"/>
        <v>10</v>
      </c>
      <c r="Y4" s="12">
        <f t="shared" si="11"/>
        <v>8.5620000000000002E-3</v>
      </c>
      <c r="Z4" s="14">
        <f t="shared" si="12"/>
        <v>13.109238603603904</v>
      </c>
    </row>
    <row r="5" spans="1:26" s="9" customFormat="1">
      <c r="A5" s="7" t="s">
        <v>27</v>
      </c>
      <c r="B5" s="7" t="s">
        <v>32</v>
      </c>
      <c r="C5" s="7"/>
      <c r="D5" s="7">
        <v>0.37519999999999998</v>
      </c>
      <c r="E5" s="7">
        <v>1</v>
      </c>
      <c r="F5" s="7">
        <v>2.1579999999999999</v>
      </c>
      <c r="G5" s="7">
        <v>13</v>
      </c>
      <c r="H5" s="7">
        <v>5.21E-2</v>
      </c>
      <c r="I5" s="7">
        <v>13</v>
      </c>
      <c r="J5" s="7">
        <v>7.7140000000000004E-3</v>
      </c>
      <c r="K5" s="7">
        <v>252</v>
      </c>
      <c r="L5"/>
      <c r="M5" s="8">
        <f t="shared" si="0"/>
        <v>7.2015355086372352</v>
      </c>
      <c r="N5" s="9">
        <f t="shared" si="1"/>
        <v>1.8772841863694753E-2</v>
      </c>
      <c r="O5" s="8">
        <f t="shared" si="2"/>
        <v>41.420345489443378</v>
      </c>
      <c r="P5" s="9">
        <f t="shared" si="3"/>
        <v>2.0916494913294007E-8</v>
      </c>
      <c r="Q5" s="8">
        <f t="shared" si="4"/>
        <v>6.7539538501425973</v>
      </c>
      <c r="R5" s="9">
        <f t="shared" si="5"/>
        <v>4.1608695916333811E-11</v>
      </c>
      <c r="S5" s="10">
        <f t="shared" si="6"/>
        <v>1</v>
      </c>
      <c r="T5" s="11">
        <f t="shared" si="7"/>
        <v>19</v>
      </c>
      <c r="U5" s="12" t="str">
        <f t="shared" si="8"/>
        <v>*</v>
      </c>
      <c r="V5" s="8">
        <f t="shared" si="9"/>
        <v>14.806142034548946</v>
      </c>
      <c r="X5" s="13">
        <f t="shared" si="10"/>
        <v>10</v>
      </c>
      <c r="Y5" s="12">
        <f t="shared" si="11"/>
        <v>4.4386E-3</v>
      </c>
      <c r="Z5" s="14">
        <f t="shared" si="12"/>
        <v>9.4247329753917626</v>
      </c>
    </row>
    <row r="6" spans="1:26" s="9" customFormat="1">
      <c r="A6" s="7" t="s">
        <v>27</v>
      </c>
      <c r="B6" s="7" t="s">
        <v>37</v>
      </c>
      <c r="C6" s="7"/>
      <c r="D6" s="7">
        <v>7.4909999999999997</v>
      </c>
      <c r="E6" s="7">
        <v>1</v>
      </c>
      <c r="F6" s="7">
        <v>3.0030000000000001</v>
      </c>
      <c r="G6" s="7">
        <v>30</v>
      </c>
      <c r="H6" s="7">
        <v>0.124</v>
      </c>
      <c r="I6" s="7">
        <v>30</v>
      </c>
      <c r="J6" s="7">
        <v>8.2909999999999998E-3</v>
      </c>
      <c r="K6" s="7">
        <v>558</v>
      </c>
      <c r="L6"/>
      <c r="M6" s="8">
        <f t="shared" si="0"/>
        <v>60.411290322580641</v>
      </c>
      <c r="N6" s="9">
        <f t="shared" si="1"/>
        <v>1.1331319079346933E-8</v>
      </c>
      <c r="O6" s="8">
        <f t="shared" si="2"/>
        <v>24.217741935483872</v>
      </c>
      <c r="P6" s="9">
        <f t="shared" si="3"/>
        <v>4.3045534441113631E-14</v>
      </c>
      <c r="Q6" s="8">
        <f t="shared" si="4"/>
        <v>14.955976359908334</v>
      </c>
      <c r="R6" s="9">
        <f t="shared" si="5"/>
        <v>1.1951390862819704E-53</v>
      </c>
      <c r="S6" s="10">
        <f t="shared" si="6"/>
        <v>1</v>
      </c>
      <c r="T6" s="11">
        <f t="shared" si="7"/>
        <v>19</v>
      </c>
      <c r="U6" s="12" t="str">
        <f t="shared" si="8"/>
        <v>*</v>
      </c>
      <c r="V6" s="8">
        <f t="shared" si="9"/>
        <v>6.6862903225806445</v>
      </c>
      <c r="X6" s="13">
        <f t="shared" si="10"/>
        <v>10</v>
      </c>
      <c r="Y6" s="12">
        <f t="shared" si="11"/>
        <v>1.15709E-2</v>
      </c>
      <c r="Z6" s="14">
        <f t="shared" si="12"/>
        <v>26.116068050806547</v>
      </c>
    </row>
    <row r="7" spans="1:26" s="9" customFormat="1">
      <c r="A7" s="7" t="s">
        <v>27</v>
      </c>
      <c r="B7" s="7" t="s">
        <v>39</v>
      </c>
      <c r="C7" s="7"/>
      <c r="D7" s="7">
        <v>5.99</v>
      </c>
      <c r="E7" s="7">
        <v>1</v>
      </c>
      <c r="F7" s="7">
        <v>9.0399999999999991</v>
      </c>
      <c r="G7" s="7">
        <v>29</v>
      </c>
      <c r="H7" s="7">
        <v>0.106</v>
      </c>
      <c r="I7" s="7">
        <v>29</v>
      </c>
      <c r="J7" s="7">
        <v>1.6899999999999998E-2</v>
      </c>
      <c r="K7" s="7">
        <v>540</v>
      </c>
      <c r="L7"/>
      <c r="M7" s="8">
        <f t="shared" si="0"/>
        <v>56.509433962264154</v>
      </c>
      <c r="N7" s="9">
        <f t="shared" si="1"/>
        <v>2.7579117162937338E-8</v>
      </c>
      <c r="O7" s="8">
        <f t="shared" si="2"/>
        <v>85.283018867924525</v>
      </c>
      <c r="P7" s="9">
        <f t="shared" si="3"/>
        <v>2.8908477485411697E-21</v>
      </c>
      <c r="Q7" s="8">
        <f t="shared" si="4"/>
        <v>6.2721893491124261</v>
      </c>
      <c r="R7" s="9">
        <f t="shared" si="5"/>
        <v>3.630459817264589E-20</v>
      </c>
      <c r="S7" s="10">
        <f t="shared" si="6"/>
        <v>1</v>
      </c>
      <c r="T7" s="11">
        <f t="shared" si="7"/>
        <v>19</v>
      </c>
      <c r="U7" s="12" t="str">
        <f t="shared" si="8"/>
        <v>*</v>
      </c>
      <c r="V7" s="8">
        <f t="shared" si="9"/>
        <v>15.943396226415095</v>
      </c>
      <c r="X7" s="13">
        <f t="shared" si="10"/>
        <v>10</v>
      </c>
      <c r="Y7" s="12">
        <f t="shared" si="11"/>
        <v>8.9099999999999995E-3</v>
      </c>
      <c r="Z7" s="14">
        <f t="shared" si="12"/>
        <v>20.462053807133188</v>
      </c>
    </row>
    <row r="8" spans="1:26" s="9" customFormat="1">
      <c r="A8" s="7" t="s">
        <v>27</v>
      </c>
      <c r="B8" s="7" t="s">
        <v>34</v>
      </c>
      <c r="C8" s="7"/>
      <c r="D8" s="7">
        <v>2.0362</v>
      </c>
      <c r="E8" s="7">
        <v>1</v>
      </c>
      <c r="F8" s="7">
        <v>9.3390000000000004</v>
      </c>
      <c r="G8" s="7">
        <v>33</v>
      </c>
      <c r="H8" s="7">
        <v>0.31009999999999999</v>
      </c>
      <c r="I8" s="7">
        <v>33</v>
      </c>
      <c r="J8" s="7">
        <v>2.4309999999999998E-2</v>
      </c>
      <c r="K8" s="7">
        <v>612</v>
      </c>
      <c r="L8"/>
      <c r="M8" s="8">
        <f t="shared" si="0"/>
        <v>6.5662689455014513</v>
      </c>
      <c r="N8" s="9">
        <f t="shared" si="1"/>
        <v>1.5142399411714316E-2</v>
      </c>
      <c r="O8" s="8">
        <f t="shared" si="2"/>
        <v>30.116091583360209</v>
      </c>
      <c r="P8" s="9">
        <f t="shared" si="3"/>
        <v>8.5335398905216506E-17</v>
      </c>
      <c r="Q8" s="8">
        <f t="shared" si="4"/>
        <v>12.756067461949815</v>
      </c>
      <c r="R8" s="9">
        <f t="shared" si="5"/>
        <v>2.6292599150768151E-50</v>
      </c>
      <c r="S8" s="10">
        <f t="shared" si="6"/>
        <v>1</v>
      </c>
      <c r="T8" s="11">
        <f t="shared" si="7"/>
        <v>19</v>
      </c>
      <c r="U8" s="12" t="str">
        <f t="shared" si="8"/>
        <v>*</v>
      </c>
      <c r="V8" s="8">
        <f t="shared" si="9"/>
        <v>7.839406643018382</v>
      </c>
      <c r="X8" s="13">
        <f t="shared" si="10"/>
        <v>10</v>
      </c>
      <c r="Y8" s="12">
        <f t="shared" si="11"/>
        <v>2.8579E-2</v>
      </c>
      <c r="Z8" s="14">
        <f t="shared" si="12"/>
        <v>28.01951223235536</v>
      </c>
    </row>
    <row r="9" spans="1:26" s="9" customFormat="1">
      <c r="A9" s="7" t="s">
        <v>27</v>
      </c>
      <c r="B9" s="7" t="s">
        <v>33</v>
      </c>
      <c r="C9" s="7"/>
      <c r="D9" s="7">
        <v>10.064</v>
      </c>
      <c r="E9" s="7">
        <v>1</v>
      </c>
      <c r="F9" s="7">
        <v>3.4180000000000001</v>
      </c>
      <c r="G9" s="7">
        <v>25</v>
      </c>
      <c r="H9" s="7">
        <v>0.40799999999999997</v>
      </c>
      <c r="I9" s="7">
        <v>25</v>
      </c>
      <c r="J9" s="7">
        <v>1.3100000000000001E-2</v>
      </c>
      <c r="K9" s="7">
        <v>468</v>
      </c>
      <c r="L9"/>
      <c r="M9" s="8">
        <f t="shared" si="0"/>
        <v>24.666666666666668</v>
      </c>
      <c r="N9" s="9">
        <f t="shared" si="1"/>
        <v>4.0640542891898751E-5</v>
      </c>
      <c r="O9" s="8">
        <f t="shared" si="2"/>
        <v>8.3774509803921582</v>
      </c>
      <c r="P9" s="9">
        <f t="shared" si="3"/>
        <v>5.6868992117756068E-7</v>
      </c>
      <c r="Q9" s="8">
        <f t="shared" si="4"/>
        <v>31.145038167938928</v>
      </c>
      <c r="R9" s="9">
        <f t="shared" si="5"/>
        <v>2.1799428062423024E-83</v>
      </c>
      <c r="S9" s="10">
        <f t="shared" si="6"/>
        <v>1</v>
      </c>
      <c r="T9" s="11">
        <f t="shared" si="7"/>
        <v>19</v>
      </c>
      <c r="U9" s="12" t="str">
        <f t="shared" si="8"/>
        <v>*</v>
      </c>
      <c r="V9" s="8">
        <f t="shared" si="9"/>
        <v>3.2107843137254903</v>
      </c>
      <c r="X9" s="13">
        <f t="shared" si="10"/>
        <v>10</v>
      </c>
      <c r="Y9" s="12">
        <f t="shared" si="11"/>
        <v>3.9489999999999997E-2</v>
      </c>
      <c r="Z9" s="14">
        <f t="shared" si="12"/>
        <v>23.419090989577711</v>
      </c>
    </row>
    <row r="10" spans="1:26" s="9" customFormat="1">
      <c r="A10" s="7" t="s">
        <v>27</v>
      </c>
      <c r="B10" s="7" t="s">
        <v>31</v>
      </c>
      <c r="C10" s="7"/>
      <c r="D10" s="7">
        <v>16.893000000000001</v>
      </c>
      <c r="E10" s="7">
        <v>1</v>
      </c>
      <c r="F10" s="7">
        <v>3.589</v>
      </c>
      <c r="G10" s="7">
        <v>30</v>
      </c>
      <c r="H10" s="7">
        <v>0.14599999999999999</v>
      </c>
      <c r="I10" s="7">
        <v>30</v>
      </c>
      <c r="J10" s="7">
        <v>1.353E-2</v>
      </c>
      <c r="K10" s="7">
        <v>558</v>
      </c>
      <c r="L10"/>
      <c r="M10" s="8">
        <f t="shared" si="0"/>
        <v>115.7054794520548</v>
      </c>
      <c r="N10" s="9">
        <f t="shared" si="1"/>
        <v>8.1479375197794789E-12</v>
      </c>
      <c r="O10" s="8">
        <f t="shared" si="2"/>
        <v>24.582191780821919</v>
      </c>
      <c r="P10" s="9">
        <f t="shared" si="3"/>
        <v>3.4977713720676137E-14</v>
      </c>
      <c r="Q10" s="8">
        <f t="shared" si="4"/>
        <v>10.790835181079082</v>
      </c>
      <c r="R10" s="9">
        <f t="shared" si="5"/>
        <v>9.2977806474778682E-39</v>
      </c>
      <c r="S10" s="10">
        <f t="shared" si="6"/>
        <v>1</v>
      </c>
      <c r="T10" s="11">
        <f t="shared" si="7"/>
        <v>19</v>
      </c>
      <c r="U10" s="12" t="str">
        <f t="shared" si="8"/>
        <v>*</v>
      </c>
      <c r="V10" s="8">
        <f t="shared" si="9"/>
        <v>9.2671232876712342</v>
      </c>
      <c r="X10" s="13">
        <f t="shared" si="10"/>
        <v>10</v>
      </c>
      <c r="Y10" s="12">
        <f t="shared" si="11"/>
        <v>1.3246999999999998E-2</v>
      </c>
      <c r="Z10" s="14">
        <f t="shared" si="12"/>
        <v>24.685966790814668</v>
      </c>
    </row>
    <row r="11" spans="1:26">
      <c r="B11" s="1"/>
      <c r="C11" s="1"/>
      <c r="D11" s="1"/>
      <c r="E11" s="1"/>
      <c r="F11" s="1"/>
      <c r="G11" s="1"/>
      <c r="H11" s="1"/>
      <c r="I11" s="1"/>
      <c r="J11" s="1"/>
      <c r="K11" s="5"/>
      <c r="O11" s="2"/>
    </row>
    <row r="12" spans="1:26">
      <c r="B12" s="1"/>
      <c r="C12" s="1"/>
      <c r="D12" s="1"/>
      <c r="E12" s="1"/>
      <c r="F12" s="1"/>
      <c r="G12" s="1"/>
      <c r="H12" s="1"/>
      <c r="I12" s="1"/>
      <c r="J12" s="1"/>
      <c r="K12" s="5"/>
      <c r="O12" s="2"/>
    </row>
    <row r="13" spans="1:26">
      <c r="B13" s="1"/>
      <c r="C13" s="1"/>
      <c r="D13" s="1"/>
      <c r="E13" s="1"/>
      <c r="F13" s="1"/>
      <c r="G13" s="1"/>
      <c r="H13" s="1"/>
      <c r="I13" s="1"/>
      <c r="J13" s="1"/>
      <c r="K13" s="5"/>
      <c r="O13" s="2"/>
    </row>
    <row r="14" spans="1:26">
      <c r="B14" s="1"/>
      <c r="C14" s="1"/>
      <c r="D14" s="1"/>
      <c r="E14" s="1"/>
      <c r="F14" s="1"/>
      <c r="G14" s="1"/>
      <c r="H14" s="1"/>
      <c r="I14" s="1"/>
      <c r="J14" s="1"/>
      <c r="K14" s="5"/>
      <c r="O14" s="2"/>
    </row>
    <row r="15" spans="1:26">
      <c r="B15" s="1"/>
      <c r="C15" s="1"/>
      <c r="D15" s="1"/>
      <c r="E15" s="1"/>
      <c r="F15" s="1"/>
      <c r="G15" s="1"/>
      <c r="H15" s="1"/>
      <c r="I15" s="1"/>
      <c r="J15" s="1"/>
      <c r="K15" s="5"/>
      <c r="O15" s="2"/>
    </row>
    <row r="16" spans="1:26">
      <c r="B16" s="1"/>
      <c r="C16" s="1"/>
      <c r="D16" s="1"/>
      <c r="E16" s="1"/>
      <c r="F16" s="1"/>
      <c r="G16" s="1"/>
      <c r="H16" s="1"/>
      <c r="I16" s="1"/>
      <c r="J16" s="1"/>
      <c r="K16" s="5"/>
      <c r="O16" s="2"/>
    </row>
    <row r="17" spans="2:15">
      <c r="B17" s="1"/>
      <c r="C17" s="1"/>
      <c r="D17" s="1"/>
      <c r="E17" s="1"/>
      <c r="F17" s="1"/>
      <c r="G17" s="1"/>
      <c r="H17" s="1"/>
      <c r="I17" s="1"/>
      <c r="J17" s="1"/>
      <c r="K17" s="5"/>
      <c r="O17" s="2"/>
    </row>
    <row r="18" spans="2:15">
      <c r="B18" s="1"/>
      <c r="C18" s="1"/>
      <c r="D18" s="1"/>
      <c r="E18" s="1"/>
      <c r="F18" s="1"/>
      <c r="G18" s="1"/>
      <c r="H18" s="1"/>
      <c r="I18" s="1"/>
      <c r="J18" s="1"/>
      <c r="K18" s="5"/>
      <c r="O18" s="2"/>
    </row>
    <row r="19" spans="2:15">
      <c r="B19" s="1"/>
      <c r="C19" s="1"/>
      <c r="D19" s="1"/>
      <c r="E19" s="1"/>
      <c r="F19" s="1"/>
      <c r="G19" s="1"/>
      <c r="H19" s="1"/>
      <c r="I19" s="1"/>
      <c r="J19" s="1"/>
      <c r="K19" s="5"/>
      <c r="O19" s="2"/>
    </row>
    <row r="20" spans="2:15">
      <c r="B20" s="1"/>
      <c r="C20" s="1"/>
      <c r="D20" s="1"/>
      <c r="E20" s="1"/>
      <c r="F20" s="1"/>
      <c r="G20" s="1"/>
      <c r="H20" s="1"/>
      <c r="I20" s="1"/>
      <c r="J20" s="1"/>
      <c r="K20" s="5"/>
      <c r="M20" s="2"/>
      <c r="O20" s="2"/>
    </row>
    <row r="21" spans="2:15">
      <c r="B21" s="1"/>
      <c r="C21" s="1"/>
      <c r="D21" s="1"/>
      <c r="E21" s="1"/>
      <c r="F21" s="1"/>
      <c r="G21" s="1"/>
      <c r="H21" s="1"/>
      <c r="I21" s="1"/>
      <c r="J21" s="1"/>
      <c r="K21" s="5"/>
      <c r="M21" s="2"/>
      <c r="O21" s="2"/>
    </row>
    <row r="22" spans="2:15">
      <c r="B22" s="1"/>
      <c r="C22" s="1"/>
      <c r="D22" s="1"/>
      <c r="E22" s="1"/>
      <c r="F22" s="1"/>
      <c r="G22" s="1"/>
      <c r="H22" s="1"/>
      <c r="I22" s="1"/>
      <c r="J22" s="1"/>
      <c r="K22" s="5"/>
      <c r="M22" s="2"/>
      <c r="O22" s="2"/>
    </row>
    <row r="23" spans="2:15">
      <c r="B23" s="1"/>
      <c r="C23" s="1"/>
      <c r="D23" s="1"/>
      <c r="E23" s="1"/>
      <c r="F23" s="1"/>
      <c r="G23" s="1"/>
      <c r="H23" s="1"/>
      <c r="I23" s="1"/>
      <c r="J23" s="1"/>
      <c r="K23" s="5"/>
      <c r="M23" s="2"/>
      <c r="O23" s="2"/>
    </row>
    <row r="24" spans="2:15">
      <c r="B24" s="1"/>
      <c r="C24" s="1"/>
      <c r="D24" s="1"/>
      <c r="E24" s="1"/>
      <c r="F24" s="1"/>
      <c r="G24" s="1"/>
      <c r="H24" s="1"/>
      <c r="I24" s="1"/>
      <c r="J24" s="1"/>
      <c r="K24" s="5"/>
      <c r="M24" s="2"/>
      <c r="O24" s="2"/>
    </row>
    <row r="25" spans="2:15">
      <c r="B25" s="1"/>
      <c r="C25" s="1"/>
      <c r="D25" s="1"/>
      <c r="E25" s="1"/>
      <c r="F25" s="1"/>
      <c r="G25" s="1"/>
      <c r="H25" s="1"/>
      <c r="I25" s="1"/>
      <c r="J25" s="1"/>
      <c r="K25" s="5"/>
      <c r="L25" s="2"/>
      <c r="M25" s="2"/>
      <c r="O25" s="2"/>
    </row>
    <row r="26" spans="2:15">
      <c r="B26" s="1"/>
      <c r="C26" s="1"/>
      <c r="D26" s="1"/>
      <c r="E26" s="1"/>
      <c r="F26" s="1"/>
      <c r="G26" s="1"/>
      <c r="H26" s="1"/>
      <c r="I26" s="1"/>
      <c r="J26" s="1"/>
      <c r="K26" s="5"/>
      <c r="L26" s="2"/>
      <c r="O26" s="2"/>
    </row>
    <row r="27" spans="2:15">
      <c r="B27" s="1"/>
      <c r="C27" s="1"/>
      <c r="D27" s="1"/>
      <c r="E27" s="1"/>
      <c r="F27" s="1"/>
      <c r="G27" s="1"/>
      <c r="H27" s="1"/>
      <c r="I27" s="1"/>
      <c r="J27" s="1"/>
      <c r="K27" s="5"/>
      <c r="L27" s="2"/>
    </row>
    <row r="28" spans="2:15">
      <c r="B28" s="1"/>
      <c r="C28" s="1"/>
      <c r="D28" s="1"/>
      <c r="E28" s="1"/>
      <c r="F28" s="1"/>
      <c r="G28" s="1"/>
      <c r="H28" s="1"/>
      <c r="I28" s="1"/>
      <c r="J28" s="1"/>
      <c r="K28" s="5"/>
      <c r="L28" s="2"/>
    </row>
    <row r="29" spans="2:15">
      <c r="B29" s="1"/>
      <c r="C29" s="1"/>
      <c r="D29" s="1"/>
      <c r="E29" s="1"/>
      <c r="F29" s="1"/>
      <c r="G29" s="1"/>
      <c r="H29" s="1"/>
      <c r="I29" s="1"/>
      <c r="J29" s="1"/>
      <c r="K29" s="5"/>
      <c r="L29" s="2"/>
    </row>
    <row r="30" spans="2:15">
      <c r="B30" s="1"/>
      <c r="C30" s="1"/>
      <c r="D30" s="1"/>
      <c r="E30" s="1"/>
      <c r="F30" s="1"/>
      <c r="G30" s="1"/>
      <c r="H30" s="1"/>
      <c r="I30" s="1"/>
      <c r="J30" s="1"/>
      <c r="K30" s="5"/>
      <c r="L30" s="2"/>
    </row>
    <row r="31" spans="2:15">
      <c r="B31" s="1"/>
      <c r="C31" s="1"/>
      <c r="D31" s="1"/>
      <c r="E31" s="1"/>
      <c r="F31" s="1"/>
      <c r="G31" s="1"/>
      <c r="H31" s="1"/>
      <c r="I31" s="1"/>
      <c r="J31" s="1"/>
      <c r="K31" s="5"/>
      <c r="L31" s="2"/>
    </row>
    <row r="32" spans="2:15">
      <c r="B32" s="1"/>
      <c r="C32" s="1"/>
      <c r="D32" s="1"/>
      <c r="E32" s="1"/>
      <c r="F32" s="1"/>
      <c r="G32" s="1"/>
      <c r="H32" s="1"/>
      <c r="I32" s="1"/>
      <c r="J32" s="1"/>
      <c r="K32" s="5"/>
      <c r="L32" s="2"/>
    </row>
    <row r="36" spans="2:12">
      <c r="D36" s="1"/>
      <c r="E36" s="1"/>
      <c r="F36" s="1"/>
      <c r="G36" s="1"/>
      <c r="H36" s="1"/>
      <c r="I36" s="1"/>
      <c r="J36" s="1"/>
      <c r="K36" s="5"/>
    </row>
    <row r="37" spans="2:12">
      <c r="D37" s="1"/>
      <c r="E37" s="1"/>
      <c r="F37" s="1"/>
      <c r="G37" s="1"/>
      <c r="H37" s="1"/>
      <c r="I37" s="1"/>
      <c r="J37" s="1"/>
      <c r="K37" s="5"/>
    </row>
    <row r="38" spans="2:12">
      <c r="B38" s="1"/>
      <c r="C38" s="1"/>
      <c r="D38" s="1"/>
      <c r="E38" s="1"/>
      <c r="F38" s="1"/>
      <c r="G38" s="1"/>
      <c r="H38" s="1"/>
      <c r="I38" s="1"/>
      <c r="J38" s="1"/>
      <c r="K38" s="5"/>
    </row>
    <row r="39" spans="2:12">
      <c r="B39" s="1"/>
      <c r="C39" s="1"/>
      <c r="D39" s="1"/>
      <c r="E39" s="1"/>
      <c r="F39" s="1"/>
      <c r="G39" s="1"/>
      <c r="H39" s="1"/>
      <c r="I39" s="1"/>
      <c r="J39" s="1"/>
      <c r="K39" s="5"/>
    </row>
    <row r="40" spans="2:12">
      <c r="B40" s="1"/>
      <c r="C40" s="1"/>
      <c r="D40" s="1"/>
      <c r="E40" s="1"/>
      <c r="F40" s="1"/>
      <c r="G40" s="1"/>
      <c r="H40" s="1"/>
      <c r="I40" s="1"/>
      <c r="J40" s="1"/>
      <c r="K40" s="5"/>
      <c r="L40" s="2"/>
    </row>
    <row r="41" spans="2:12">
      <c r="B41" s="1"/>
      <c r="C41" s="1"/>
      <c r="D41" s="1"/>
      <c r="E41" s="1"/>
      <c r="F41" s="1"/>
      <c r="G41" s="1"/>
      <c r="H41" s="1"/>
      <c r="I41" s="1"/>
      <c r="J41" s="1"/>
      <c r="K41" s="5"/>
      <c r="L41" s="2"/>
    </row>
    <row r="42" spans="2:12">
      <c r="B42" s="1"/>
      <c r="C42" s="1"/>
      <c r="D42" s="1"/>
      <c r="E42" s="1"/>
      <c r="F42" s="1"/>
      <c r="G42" s="1"/>
      <c r="H42" s="1"/>
      <c r="I42" s="1"/>
      <c r="J42" s="1"/>
      <c r="L42" s="2"/>
    </row>
    <row r="43" spans="2:12">
      <c r="B43" s="1"/>
      <c r="C43" s="1"/>
      <c r="D43" s="1"/>
      <c r="E43" s="1"/>
      <c r="F43" s="1"/>
      <c r="G43" s="1"/>
      <c r="H43" s="1"/>
      <c r="I43" s="1"/>
      <c r="J43" s="1"/>
      <c r="L43" s="2"/>
    </row>
    <row r="44" spans="2:12">
      <c r="B44" s="1"/>
      <c r="C44" s="1"/>
      <c r="D44" s="1"/>
      <c r="E44" s="1"/>
      <c r="F44" s="1"/>
      <c r="G44" s="1"/>
      <c r="H44" s="1"/>
      <c r="I44" s="1"/>
      <c r="J44" s="1"/>
      <c r="L44" s="2"/>
    </row>
    <row r="45" spans="2:12">
      <c r="B45" s="1"/>
      <c r="C45" s="1"/>
      <c r="D45" s="1"/>
      <c r="E45" s="1"/>
      <c r="F45" s="1"/>
      <c r="G45" s="1"/>
      <c r="H45" s="1"/>
      <c r="I45" s="1"/>
      <c r="J45" s="1"/>
      <c r="L45" s="2"/>
    </row>
    <row r="46" spans="2:12">
      <c r="B46" s="1"/>
      <c r="C46" s="1"/>
      <c r="D46" s="1"/>
      <c r="E46" s="1"/>
      <c r="F46" s="1"/>
      <c r="G46" s="1"/>
      <c r="H46" s="1"/>
      <c r="I46" s="1"/>
      <c r="J46" s="1"/>
      <c r="L46" s="2"/>
    </row>
    <row r="47" spans="2:12">
      <c r="B47" s="1"/>
      <c r="C47" s="1"/>
      <c r="D47" s="1"/>
      <c r="E47" s="1"/>
      <c r="F47" s="1"/>
      <c r="G47" s="1"/>
      <c r="H47" s="1"/>
      <c r="I47" s="1"/>
      <c r="J47" s="1"/>
      <c r="L47" s="2"/>
    </row>
    <row r="48" spans="2:12">
      <c r="B48" s="1"/>
      <c r="C48" s="1"/>
      <c r="D48" s="1"/>
      <c r="E48" s="1"/>
      <c r="F48" s="1"/>
      <c r="G48" s="1"/>
      <c r="H48" s="1"/>
      <c r="I48" s="1"/>
      <c r="J48" s="1"/>
    </row>
    <row r="49" spans="2:11">
      <c r="B49" s="1"/>
      <c r="C49" s="1"/>
      <c r="D49" s="1"/>
      <c r="E49" s="1"/>
      <c r="F49" s="1"/>
      <c r="G49" s="1"/>
      <c r="H49" s="1"/>
      <c r="I49" s="1"/>
      <c r="J49" s="1"/>
    </row>
    <row r="50" spans="2:11">
      <c r="B50" s="1"/>
      <c r="C50" s="1"/>
      <c r="D50" s="1"/>
      <c r="E50" s="1"/>
      <c r="F50" s="1"/>
      <c r="G50" s="1"/>
      <c r="H50" s="1"/>
      <c r="I50" s="1"/>
      <c r="J50" s="1"/>
      <c r="K50" s="5"/>
    </row>
    <row r="51" spans="2:11">
      <c r="B51" s="1"/>
      <c r="C51" s="1"/>
      <c r="D51" s="1"/>
      <c r="E51" s="1"/>
      <c r="F51" s="1"/>
      <c r="G51" s="1"/>
      <c r="H51" s="1"/>
      <c r="I51" s="1"/>
      <c r="J51" s="1"/>
      <c r="K51" s="5"/>
    </row>
    <row r="52" spans="2:11">
      <c r="B52" s="1"/>
      <c r="C52" s="1"/>
      <c r="D52" s="1"/>
      <c r="E52" s="1"/>
      <c r="F52" s="1"/>
      <c r="G52" s="1"/>
      <c r="H52" s="1"/>
      <c r="I52" s="1"/>
      <c r="J52" s="1"/>
      <c r="K52" s="5"/>
    </row>
    <row r="53" spans="2:11">
      <c r="B53" s="1"/>
      <c r="C53" s="1"/>
      <c r="D53" s="1"/>
      <c r="E53" s="1"/>
      <c r="F53" s="1"/>
      <c r="G53" s="1"/>
      <c r="H53" s="1"/>
      <c r="I53" s="1"/>
      <c r="J53" s="1"/>
      <c r="K53" s="5"/>
    </row>
    <row r="54" spans="2:11">
      <c r="B54" s="1"/>
      <c r="C54" s="1"/>
      <c r="D54" s="1"/>
      <c r="E54" s="1"/>
      <c r="F54" s="1"/>
      <c r="G54" s="1"/>
      <c r="H54" s="1"/>
      <c r="I54" s="1"/>
      <c r="J54" s="1"/>
      <c r="K54" s="5"/>
    </row>
    <row r="55" spans="2:11">
      <c r="B55" s="1"/>
      <c r="C55" s="1"/>
      <c r="D55" s="1"/>
      <c r="E55" s="1"/>
      <c r="F55" s="1"/>
      <c r="G55" s="1"/>
      <c r="H55" s="1"/>
      <c r="I55" s="1"/>
      <c r="J55" s="1"/>
      <c r="K55" s="5"/>
    </row>
    <row r="56" spans="2:11">
      <c r="B56" s="1"/>
      <c r="C56" s="1"/>
      <c r="D56" s="1"/>
      <c r="E56" s="1"/>
      <c r="F56" s="1"/>
      <c r="G56" s="1"/>
      <c r="H56" s="1"/>
      <c r="I56" s="1"/>
      <c r="J56" s="1"/>
      <c r="K56" s="5"/>
    </row>
    <row r="57" spans="2:11">
      <c r="B57" s="1"/>
      <c r="C57" s="1"/>
      <c r="D57" s="1"/>
      <c r="E57" s="1"/>
      <c r="F57" s="1"/>
      <c r="G57" s="1"/>
      <c r="H57" s="1"/>
      <c r="I57" s="1"/>
      <c r="J57" s="1"/>
      <c r="K57" s="5"/>
    </row>
    <row r="62" spans="2:11">
      <c r="B62" s="1"/>
      <c r="C62" s="1"/>
      <c r="D62" s="1"/>
      <c r="E62" s="1"/>
      <c r="F62" s="1"/>
      <c r="G62" s="1"/>
      <c r="H62" s="1"/>
      <c r="I62" s="1"/>
      <c r="J62" s="1"/>
      <c r="K62" s="5"/>
    </row>
    <row r="63" spans="2:11">
      <c r="B63" s="1"/>
      <c r="C63" s="1"/>
      <c r="D63" s="1"/>
      <c r="E63" s="1"/>
      <c r="F63" s="1"/>
      <c r="G63" s="1"/>
      <c r="H63" s="1"/>
      <c r="I63" s="1"/>
      <c r="J63" s="1"/>
      <c r="K63" s="5"/>
    </row>
    <row r="64" spans="2:11">
      <c r="B64" s="1"/>
      <c r="C64" s="1"/>
      <c r="D64" s="1"/>
      <c r="E64" s="1"/>
      <c r="F64" s="1"/>
      <c r="G64" s="1"/>
      <c r="H64" s="1"/>
      <c r="I64" s="1"/>
      <c r="J64" s="1"/>
      <c r="K64" s="5"/>
    </row>
    <row r="65" spans="2:11">
      <c r="B65" s="1"/>
      <c r="C65" s="1"/>
      <c r="D65" s="1"/>
      <c r="E65" s="1"/>
      <c r="F65" s="1"/>
      <c r="G65" s="1"/>
      <c r="H65" s="1"/>
      <c r="I65" s="1"/>
      <c r="J65" s="1"/>
      <c r="K65" s="5"/>
    </row>
    <row r="66" spans="2:11">
      <c r="B66" s="1"/>
      <c r="C66" s="1"/>
      <c r="D66" s="1"/>
      <c r="E66" s="1"/>
      <c r="F66" s="1"/>
      <c r="G66" s="1"/>
      <c r="H66" s="1"/>
      <c r="I66" s="1"/>
      <c r="J66" s="1"/>
      <c r="K66" s="5"/>
    </row>
    <row r="67" spans="2:11">
      <c r="B67" s="1"/>
      <c r="C67" s="1"/>
      <c r="D67" s="1"/>
      <c r="E67" s="1"/>
      <c r="F67" s="1"/>
      <c r="G67" s="1"/>
      <c r="H67" s="1"/>
      <c r="I67" s="1"/>
      <c r="J67" s="1"/>
      <c r="K67" s="5"/>
    </row>
    <row r="68" spans="2:11">
      <c r="B68" s="1"/>
      <c r="C68" s="1"/>
      <c r="D68" s="1"/>
      <c r="E68" s="1"/>
      <c r="F68" s="1"/>
      <c r="G68" s="1"/>
      <c r="H68" s="1"/>
      <c r="I68" s="1"/>
      <c r="J68" s="1"/>
      <c r="K68" s="5"/>
    </row>
  </sheetData>
  <sortState xmlns:xlrd2="http://schemas.microsoft.com/office/spreadsheetml/2017/richdata2" ref="A2:Z10">
    <sortCondition ref="B2:B10"/>
  </sortState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636B9-99F2-4133-81DF-5658D084237D}">
  <dimension ref="A1:Z61"/>
  <sheetViews>
    <sheetView tabSelected="1" workbookViewId="0">
      <selection activeCell="B9" sqref="B9"/>
    </sheetView>
  </sheetViews>
  <sheetFormatPr defaultColWidth="6.42578125" defaultRowHeight="15"/>
  <cols>
    <col min="2" max="2" width="7.140625" bestFit="1" customWidth="1"/>
    <col min="3" max="3" width="7.7109375" bestFit="1" customWidth="1"/>
    <col min="4" max="4" width="7.28515625" bestFit="1" customWidth="1"/>
    <col min="5" max="5" width="14.28515625" bestFit="1" customWidth="1"/>
    <col min="6" max="6" width="8.7109375" bestFit="1" customWidth="1"/>
    <col min="7" max="7" width="10.42578125" bestFit="1" customWidth="1"/>
    <col min="8" max="9" width="7" bestFit="1" customWidth="1"/>
    <col min="10" max="10" width="6.5703125" bestFit="1" customWidth="1"/>
    <col min="11" max="11" width="7.5703125" style="6" bestFit="1" customWidth="1"/>
    <col min="12" max="12" width="7.28515625" bestFit="1" customWidth="1"/>
    <col min="14" max="14" width="6.140625" style="4" bestFit="1" customWidth="1"/>
    <col min="25" max="25" width="7.5703125" bestFit="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28</v>
      </c>
      <c r="B2" s="1" t="s">
        <v>35</v>
      </c>
      <c r="C2" s="1"/>
      <c r="D2">
        <v>1.0847</v>
      </c>
      <c r="E2" s="1">
        <v>1</v>
      </c>
      <c r="F2" s="1">
        <v>19.2</v>
      </c>
      <c r="G2" s="1">
        <v>19</v>
      </c>
      <c r="H2" s="1">
        <v>0.4173</v>
      </c>
      <c r="I2" s="1">
        <v>19</v>
      </c>
      <c r="J2" s="1">
        <v>3.6810000000000002E-2</v>
      </c>
      <c r="K2" s="5">
        <v>360</v>
      </c>
      <c r="M2" s="2">
        <v>2.5993290198897676</v>
      </c>
      <c r="N2" s="3">
        <v>0.12339591754141649</v>
      </c>
      <c r="O2" s="2">
        <v>46.010064701653484</v>
      </c>
      <c r="P2" s="2">
        <v>5.2226111493644304E-12</v>
      </c>
      <c r="Q2" s="2">
        <v>11.336593317033413</v>
      </c>
      <c r="R2">
        <v>8.6590026418578555E-27</v>
      </c>
      <c r="S2">
        <v>6.2500000000000003E-3</v>
      </c>
      <c r="T2">
        <v>8</v>
      </c>
      <c r="U2" t="s">
        <v>26</v>
      </c>
      <c r="V2">
        <v>8.8209920920201288</v>
      </c>
      <c r="X2">
        <v>10</v>
      </c>
      <c r="Y2" s="6">
        <v>3.8048999999999999E-2</v>
      </c>
      <c r="Z2">
        <v>15.789377698818956</v>
      </c>
    </row>
    <row r="3" spans="1:26">
      <c r="A3" t="s">
        <v>28</v>
      </c>
      <c r="B3" s="1" t="s">
        <v>32</v>
      </c>
      <c r="C3" s="1"/>
      <c r="D3" s="1">
        <v>1.1594</v>
      </c>
      <c r="E3" s="1">
        <v>1</v>
      </c>
      <c r="F3" s="1">
        <v>2.0859999999999999</v>
      </c>
      <c r="G3" s="1">
        <v>14</v>
      </c>
      <c r="H3" s="1">
        <v>0.58089999999999997</v>
      </c>
      <c r="I3" s="1">
        <v>14</v>
      </c>
      <c r="J3" s="1">
        <v>2.4119999999999999E-2</v>
      </c>
      <c r="K3" s="5">
        <v>270</v>
      </c>
      <c r="M3">
        <v>1.9958684799449131</v>
      </c>
      <c r="N3" s="4">
        <v>0.17957287342027031</v>
      </c>
      <c r="O3" s="2">
        <v>3.5909795145463934</v>
      </c>
      <c r="P3">
        <v>1.1381866100146472E-2</v>
      </c>
      <c r="Q3">
        <v>24.08374792703151</v>
      </c>
      <c r="R3">
        <v>9.1391926436000214E-40</v>
      </c>
      <c r="S3">
        <v>0.05</v>
      </c>
      <c r="T3">
        <v>1</v>
      </c>
      <c r="U3" t="s">
        <v>26</v>
      </c>
      <c r="V3">
        <v>4.1521776553623688</v>
      </c>
      <c r="X3">
        <v>10</v>
      </c>
      <c r="Y3" s="6">
        <v>5.5677999999999991E-2</v>
      </c>
      <c r="Z3">
        <v>12.860377406386331</v>
      </c>
    </row>
    <row r="4" spans="1:26">
      <c r="A4" t="s">
        <v>28</v>
      </c>
      <c r="B4" s="1" t="s">
        <v>37</v>
      </c>
      <c r="C4" s="1"/>
      <c r="D4" s="1">
        <v>2.7431000000000001</v>
      </c>
      <c r="E4" s="1">
        <v>1</v>
      </c>
      <c r="F4" s="1">
        <v>6.6959999999999997</v>
      </c>
      <c r="G4" s="1">
        <v>30</v>
      </c>
      <c r="H4" s="1">
        <v>0.2782</v>
      </c>
      <c r="I4" s="1">
        <v>30</v>
      </c>
      <c r="J4" s="1">
        <v>3.8510000000000003E-2</v>
      </c>
      <c r="K4" s="5">
        <v>558</v>
      </c>
      <c r="M4">
        <v>9.8601725377426312</v>
      </c>
      <c r="N4" s="4">
        <v>3.7773117477563839E-3</v>
      </c>
      <c r="O4" s="2">
        <v>24.069015097052478</v>
      </c>
      <c r="P4">
        <v>4.68891061505382E-14</v>
      </c>
      <c r="Q4">
        <v>7.2240976369774081</v>
      </c>
      <c r="R4">
        <v>1.0270839272502003E-24</v>
      </c>
      <c r="S4">
        <v>0.01</v>
      </c>
      <c r="T4">
        <v>5</v>
      </c>
      <c r="U4" t="s">
        <v>26</v>
      </c>
      <c r="V4">
        <v>13.842559309849031</v>
      </c>
      <c r="X4">
        <v>10</v>
      </c>
      <c r="Y4" s="6">
        <v>2.3969000000000001E-2</v>
      </c>
      <c r="Z4">
        <v>22.246395611984095</v>
      </c>
    </row>
    <row r="5" spans="1:26">
      <c r="A5" t="s">
        <v>28</v>
      </c>
      <c r="B5" s="1" t="s">
        <v>39</v>
      </c>
      <c r="C5" s="1"/>
      <c r="D5" s="1">
        <v>4.1059999999999999</v>
      </c>
      <c r="E5" s="1">
        <v>1</v>
      </c>
      <c r="F5" s="1">
        <v>14.02</v>
      </c>
      <c r="G5" s="1">
        <v>31</v>
      </c>
      <c r="H5" s="1">
        <v>0.48099999999999998</v>
      </c>
      <c r="I5" s="1">
        <v>31</v>
      </c>
      <c r="J5" s="1">
        <v>4.4979999999999999E-2</v>
      </c>
      <c r="K5" s="5">
        <v>576</v>
      </c>
      <c r="M5" s="2">
        <v>8.5363825363825363</v>
      </c>
      <c r="N5" s="3">
        <v>6.4427630050633324E-3</v>
      </c>
      <c r="O5" s="2">
        <v>29.147609147609149</v>
      </c>
      <c r="P5">
        <v>1.1377795684976325E-15</v>
      </c>
      <c r="Q5">
        <v>10.693641618497109</v>
      </c>
      <c r="R5">
        <v>1.3867371717449967E-39</v>
      </c>
      <c r="S5">
        <v>7.1428571428571435E-3</v>
      </c>
      <c r="T5">
        <v>7</v>
      </c>
      <c r="U5" t="s">
        <v>26</v>
      </c>
      <c r="V5">
        <v>9.3513513513513526</v>
      </c>
      <c r="X5">
        <v>10</v>
      </c>
      <c r="Y5" s="6">
        <v>4.3601999999999995E-2</v>
      </c>
      <c r="Z5">
        <v>25.461267189028533</v>
      </c>
    </row>
    <row r="6" spans="1:26">
      <c r="A6" t="s">
        <v>28</v>
      </c>
      <c r="B6" s="1" t="s">
        <v>34</v>
      </c>
      <c r="C6" s="1"/>
      <c r="D6" s="1">
        <v>0.61939999999999995</v>
      </c>
      <c r="E6" s="1">
        <v>1</v>
      </c>
      <c r="F6" s="1">
        <v>10.62</v>
      </c>
      <c r="G6" s="1">
        <v>31</v>
      </c>
      <c r="H6" s="1">
        <v>0.3226</v>
      </c>
      <c r="I6" s="1">
        <v>31</v>
      </c>
      <c r="J6" s="1">
        <v>3.5680000000000003E-2</v>
      </c>
      <c r="K6" s="5">
        <v>576</v>
      </c>
      <c r="M6" s="2">
        <v>1.9200247985120891</v>
      </c>
      <c r="N6" s="4">
        <v>0.17574283203676017</v>
      </c>
      <c r="O6" s="2">
        <v>32.920024798512088</v>
      </c>
      <c r="P6">
        <v>1.9268861542942364E-16</v>
      </c>
      <c r="Q6">
        <v>9.0414798206278011</v>
      </c>
      <c r="R6">
        <v>5.3028685138960363E-33</v>
      </c>
      <c r="S6">
        <v>5.5555555555555558E-3</v>
      </c>
      <c r="T6">
        <v>9</v>
      </c>
      <c r="U6" t="s">
        <v>26</v>
      </c>
      <c r="V6">
        <v>11.060136391816492</v>
      </c>
      <c r="X6">
        <v>10</v>
      </c>
      <c r="Y6" s="6">
        <v>2.8692000000000002E-2</v>
      </c>
      <c r="Z6">
        <v>24.505794436103159</v>
      </c>
    </row>
    <row r="7" spans="1:26">
      <c r="A7" t="s">
        <v>28</v>
      </c>
      <c r="B7" s="1" t="s">
        <v>33</v>
      </c>
      <c r="C7" s="1"/>
      <c r="D7" s="1">
        <v>0.98050000000000004</v>
      </c>
      <c r="E7" s="1">
        <v>1</v>
      </c>
      <c r="F7" s="1">
        <v>1.9390000000000001</v>
      </c>
      <c r="G7" s="1">
        <v>26</v>
      </c>
      <c r="H7" s="1">
        <v>0.41270000000000001</v>
      </c>
      <c r="I7" s="1">
        <v>26</v>
      </c>
      <c r="J7" s="1">
        <v>1.711E-2</v>
      </c>
      <c r="K7" s="5">
        <v>486</v>
      </c>
      <c r="M7">
        <v>2.3758177853162104</v>
      </c>
      <c r="N7" s="4">
        <v>0.13531129132455982</v>
      </c>
      <c r="O7" s="2">
        <v>4.6983280833535259</v>
      </c>
      <c r="P7">
        <v>9.3389724897860566E-5</v>
      </c>
      <c r="Q7">
        <v>24.120397428404441</v>
      </c>
      <c r="R7">
        <v>4.4926258373779132E-71</v>
      </c>
      <c r="S7">
        <v>1.2500000000000001E-2</v>
      </c>
      <c r="T7">
        <v>4</v>
      </c>
      <c r="U7" t="s">
        <v>26</v>
      </c>
      <c r="V7">
        <v>4.1458686697358855</v>
      </c>
      <c r="X7">
        <v>10</v>
      </c>
      <c r="Y7" s="6">
        <v>3.9558999999999997E-2</v>
      </c>
      <c r="Z7">
        <v>23.886641222270519</v>
      </c>
    </row>
    <row r="8" spans="1:26">
      <c r="A8" t="s">
        <v>28</v>
      </c>
      <c r="B8" s="1" t="s">
        <v>31</v>
      </c>
      <c r="C8" s="1"/>
      <c r="D8" s="1">
        <v>10.369</v>
      </c>
      <c r="E8" s="1">
        <v>1</v>
      </c>
      <c r="F8" s="1">
        <v>4.0359999999999996</v>
      </c>
      <c r="G8" s="1">
        <v>30</v>
      </c>
      <c r="H8" s="1">
        <v>0.505</v>
      </c>
      <c r="I8" s="1">
        <v>30</v>
      </c>
      <c r="J8" s="1">
        <v>2.2169999999999999E-2</v>
      </c>
      <c r="K8" s="5">
        <v>558</v>
      </c>
      <c r="M8">
        <v>20.532673267326732</v>
      </c>
      <c r="N8" s="4">
        <v>8.7197334382495568E-5</v>
      </c>
      <c r="O8" s="2">
        <v>7.9920792079207912</v>
      </c>
      <c r="P8">
        <v>8.2127993296298696E-8</v>
      </c>
      <c r="Q8">
        <v>22.778529544429411</v>
      </c>
      <c r="R8">
        <v>9.1445000725615823E-78</v>
      </c>
      <c r="S8">
        <v>1.6666666666666666E-2</v>
      </c>
      <c r="T8">
        <v>3</v>
      </c>
      <c r="U8" t="s">
        <v>26</v>
      </c>
      <c r="V8">
        <v>4.3900990099009904</v>
      </c>
      <c r="X8">
        <v>10</v>
      </c>
      <c r="Y8" s="6">
        <v>4.8283E-2</v>
      </c>
      <c r="Z8">
        <v>27.42091819816514</v>
      </c>
    </row>
    <row r="9" spans="1:26">
      <c r="B9" s="1"/>
      <c r="C9" s="1"/>
      <c r="D9" s="1"/>
      <c r="E9" s="1"/>
      <c r="F9" s="1"/>
      <c r="G9" s="1"/>
      <c r="H9" s="1"/>
      <c r="I9" s="1"/>
      <c r="J9" s="1"/>
      <c r="K9" s="5"/>
      <c r="O9" s="2"/>
    </row>
    <row r="10" spans="1:26">
      <c r="B10" s="1"/>
      <c r="C10" s="1"/>
      <c r="D10" s="1"/>
      <c r="E10" s="1"/>
      <c r="F10" s="1"/>
      <c r="G10" s="1"/>
      <c r="H10" s="1"/>
      <c r="I10" s="1"/>
      <c r="J10" s="1"/>
      <c r="K10" s="5"/>
      <c r="O10" s="2"/>
    </row>
    <row r="11" spans="1:26">
      <c r="B11" s="1"/>
      <c r="C11" s="1"/>
      <c r="D11" s="1"/>
      <c r="E11" s="1"/>
      <c r="F11" s="1"/>
      <c r="G11" s="1"/>
      <c r="H11" s="1"/>
      <c r="I11" s="1"/>
      <c r="J11" s="1"/>
      <c r="K11" s="5"/>
      <c r="O11" s="2"/>
    </row>
    <row r="12" spans="1:26">
      <c r="B12" s="1"/>
      <c r="C12" s="1"/>
      <c r="D12" s="1"/>
      <c r="E12" s="1"/>
      <c r="F12" s="1"/>
      <c r="G12" s="1"/>
      <c r="H12" s="1"/>
      <c r="I12" s="1"/>
      <c r="J12" s="1"/>
      <c r="K12" s="5"/>
      <c r="O12" s="2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5"/>
      <c r="M13" s="2"/>
      <c r="O13" s="2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5"/>
      <c r="M14" s="2"/>
      <c r="O14" s="2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5"/>
      <c r="M15" s="2"/>
      <c r="O15" s="2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5"/>
      <c r="M16" s="2"/>
      <c r="O16" s="2"/>
    </row>
    <row r="17" spans="2:15">
      <c r="B17" s="1"/>
      <c r="C17" s="1"/>
      <c r="D17" s="1"/>
      <c r="E17" s="1"/>
      <c r="F17" s="1"/>
      <c r="G17" s="1"/>
      <c r="H17" s="1"/>
      <c r="I17" s="1"/>
      <c r="J17" s="1"/>
      <c r="K17" s="5"/>
      <c r="M17" s="2"/>
      <c r="O17" s="2"/>
    </row>
    <row r="18" spans="2:15">
      <c r="B18" s="1"/>
      <c r="C18" s="1"/>
      <c r="D18" s="1"/>
      <c r="E18" s="1"/>
      <c r="F18" s="1"/>
      <c r="G18" s="1"/>
      <c r="H18" s="1"/>
      <c r="I18" s="1"/>
      <c r="J18" s="1"/>
      <c r="K18" s="5"/>
      <c r="L18" s="2"/>
      <c r="M18" s="2"/>
      <c r="O18" s="2"/>
    </row>
    <row r="19" spans="2:15">
      <c r="B19" s="1"/>
      <c r="C19" s="1"/>
      <c r="D19" s="1"/>
      <c r="E19" s="1"/>
      <c r="F19" s="1"/>
      <c r="G19" s="1"/>
      <c r="H19" s="1"/>
      <c r="I19" s="1"/>
      <c r="J19" s="1"/>
      <c r="K19" s="5"/>
      <c r="L19" s="2"/>
      <c r="O19" s="2"/>
    </row>
    <row r="20" spans="2:15">
      <c r="B20" s="1"/>
      <c r="C20" s="1"/>
      <c r="D20" s="1"/>
      <c r="E20" s="1"/>
      <c r="F20" s="1"/>
      <c r="G20" s="1"/>
      <c r="H20" s="1"/>
      <c r="I20" s="1"/>
      <c r="J20" s="1"/>
      <c r="K20" s="5"/>
      <c r="L20" s="2"/>
    </row>
    <row r="21" spans="2:15">
      <c r="B21" s="1"/>
      <c r="C21" s="1"/>
      <c r="D21" s="1"/>
      <c r="E21" s="1"/>
      <c r="F21" s="1"/>
      <c r="G21" s="1"/>
      <c r="H21" s="1"/>
      <c r="I21" s="1"/>
      <c r="J21" s="1"/>
      <c r="K21" s="5"/>
      <c r="L21" s="2"/>
    </row>
    <row r="22" spans="2:15">
      <c r="B22" s="1"/>
      <c r="C22" s="1"/>
      <c r="D22" s="1"/>
      <c r="E22" s="1"/>
      <c r="F22" s="1"/>
      <c r="G22" s="1"/>
      <c r="H22" s="1"/>
      <c r="I22" s="1"/>
      <c r="J22" s="1"/>
      <c r="K22" s="5"/>
      <c r="L22" s="2"/>
    </row>
    <row r="23" spans="2:15">
      <c r="B23" s="1"/>
      <c r="C23" s="1"/>
      <c r="D23" s="1"/>
      <c r="E23" s="1"/>
      <c r="F23" s="1"/>
      <c r="G23" s="1"/>
      <c r="H23" s="1"/>
      <c r="I23" s="1"/>
      <c r="J23" s="1"/>
      <c r="K23" s="5"/>
      <c r="L23" s="2"/>
    </row>
    <row r="24" spans="2:15">
      <c r="B24" s="1"/>
      <c r="C24" s="1"/>
      <c r="D24" s="1"/>
      <c r="E24" s="1"/>
      <c r="F24" s="1"/>
      <c r="G24" s="1"/>
      <c r="H24" s="1"/>
      <c r="I24" s="1"/>
      <c r="J24" s="1"/>
      <c r="K24" s="5"/>
      <c r="L24" s="2"/>
    </row>
    <row r="25" spans="2:15">
      <c r="B25" s="1"/>
      <c r="C25" s="1"/>
      <c r="D25" s="1"/>
      <c r="E25" s="1"/>
      <c r="F25" s="1"/>
      <c r="G25" s="1"/>
      <c r="H25" s="1"/>
      <c r="I25" s="1"/>
      <c r="J25" s="1"/>
      <c r="K25" s="5"/>
      <c r="L25" s="2"/>
    </row>
    <row r="29" spans="2:15">
      <c r="D29" s="1"/>
      <c r="E29" s="1"/>
      <c r="F29" s="1"/>
      <c r="G29" s="1"/>
      <c r="H29" s="1"/>
      <c r="I29" s="1"/>
      <c r="J29" s="1"/>
      <c r="K29" s="5"/>
    </row>
    <row r="30" spans="2:15">
      <c r="D30" s="1"/>
      <c r="E30" s="1"/>
      <c r="F30" s="1"/>
      <c r="G30" s="1"/>
      <c r="H30" s="1"/>
      <c r="I30" s="1"/>
      <c r="J30" s="1"/>
      <c r="K30" s="5"/>
    </row>
    <row r="31" spans="2:15">
      <c r="B31" s="1"/>
      <c r="C31" s="1"/>
      <c r="D31" s="1"/>
      <c r="E31" s="1"/>
      <c r="F31" s="1"/>
      <c r="G31" s="1"/>
      <c r="H31" s="1"/>
      <c r="I31" s="1"/>
      <c r="J31" s="1"/>
      <c r="K31" s="5"/>
    </row>
    <row r="32" spans="2:15">
      <c r="B32" s="1"/>
      <c r="C32" s="1"/>
      <c r="D32" s="1"/>
      <c r="E32" s="1"/>
      <c r="F32" s="1"/>
      <c r="G32" s="1"/>
      <c r="H32" s="1"/>
      <c r="I32" s="1"/>
      <c r="J32" s="1"/>
      <c r="K32" s="5"/>
    </row>
    <row r="33" spans="2:12">
      <c r="B33" s="1"/>
      <c r="C33" s="1"/>
      <c r="D33" s="1"/>
      <c r="E33" s="1"/>
      <c r="F33" s="1"/>
      <c r="G33" s="1"/>
      <c r="H33" s="1"/>
      <c r="I33" s="1"/>
      <c r="J33" s="1"/>
      <c r="K33" s="5"/>
      <c r="L33" s="2"/>
    </row>
    <row r="34" spans="2:12">
      <c r="B34" s="1"/>
      <c r="C34" s="1"/>
      <c r="D34" s="1"/>
      <c r="E34" s="1"/>
      <c r="F34" s="1"/>
      <c r="G34" s="1"/>
      <c r="H34" s="1"/>
      <c r="I34" s="1"/>
      <c r="J34" s="1"/>
      <c r="K34" s="5"/>
      <c r="L34" s="2"/>
    </row>
    <row r="35" spans="2:12">
      <c r="B35" s="1"/>
      <c r="C35" s="1"/>
      <c r="D35" s="1"/>
      <c r="E35" s="1"/>
      <c r="F35" s="1"/>
      <c r="G35" s="1"/>
      <c r="H35" s="1"/>
      <c r="I35" s="1"/>
      <c r="J35" s="1"/>
      <c r="L35" s="2"/>
    </row>
    <row r="36" spans="2:12">
      <c r="B36" s="1"/>
      <c r="C36" s="1"/>
      <c r="D36" s="1"/>
      <c r="E36" s="1"/>
      <c r="F36" s="1"/>
      <c r="G36" s="1"/>
      <c r="H36" s="1"/>
      <c r="I36" s="1"/>
      <c r="J36" s="1"/>
      <c r="L36" s="2"/>
    </row>
    <row r="37" spans="2:12">
      <c r="B37" s="1"/>
      <c r="C37" s="1"/>
      <c r="D37" s="1"/>
      <c r="E37" s="1"/>
      <c r="F37" s="1"/>
      <c r="G37" s="1"/>
      <c r="H37" s="1"/>
      <c r="I37" s="1"/>
      <c r="J37" s="1"/>
      <c r="L37" s="2"/>
    </row>
    <row r="38" spans="2:12">
      <c r="B38" s="1"/>
      <c r="C38" s="1"/>
      <c r="D38" s="1"/>
      <c r="E38" s="1"/>
      <c r="F38" s="1"/>
      <c r="G38" s="1"/>
      <c r="H38" s="1"/>
      <c r="I38" s="1"/>
      <c r="J38" s="1"/>
      <c r="L38" s="2"/>
    </row>
    <row r="39" spans="2:12">
      <c r="B39" s="1"/>
      <c r="C39" s="1"/>
      <c r="D39" s="1"/>
      <c r="E39" s="1"/>
      <c r="F39" s="1"/>
      <c r="G39" s="1"/>
      <c r="H39" s="1"/>
      <c r="I39" s="1"/>
      <c r="J39" s="1"/>
      <c r="L39" s="2"/>
    </row>
    <row r="40" spans="2:12">
      <c r="B40" s="1"/>
      <c r="C40" s="1"/>
      <c r="D40" s="1"/>
      <c r="E40" s="1"/>
      <c r="F40" s="1"/>
      <c r="G40" s="1"/>
      <c r="H40" s="1"/>
      <c r="I40" s="1"/>
      <c r="J40" s="1"/>
      <c r="L40" s="2"/>
    </row>
    <row r="41" spans="2:12">
      <c r="B41" s="1"/>
      <c r="C41" s="1"/>
      <c r="D41" s="1"/>
      <c r="E41" s="1"/>
      <c r="F41" s="1"/>
      <c r="G41" s="1"/>
      <c r="H41" s="1"/>
      <c r="I41" s="1"/>
      <c r="J41" s="1"/>
    </row>
    <row r="42" spans="2:12">
      <c r="B42" s="1"/>
      <c r="C42" s="1"/>
      <c r="D42" s="1"/>
      <c r="E42" s="1"/>
      <c r="F42" s="1"/>
      <c r="G42" s="1"/>
      <c r="H42" s="1"/>
      <c r="I42" s="1"/>
      <c r="J42" s="1"/>
    </row>
    <row r="43" spans="2:12">
      <c r="B43" s="1"/>
      <c r="C43" s="1"/>
      <c r="D43" s="1"/>
      <c r="E43" s="1"/>
      <c r="F43" s="1"/>
      <c r="G43" s="1"/>
      <c r="H43" s="1"/>
      <c r="I43" s="1"/>
      <c r="J43" s="1"/>
      <c r="K43" s="5"/>
    </row>
    <row r="44" spans="2:12">
      <c r="B44" s="1"/>
      <c r="C44" s="1"/>
      <c r="D44" s="1"/>
      <c r="E44" s="1"/>
      <c r="F44" s="1"/>
      <c r="G44" s="1"/>
      <c r="H44" s="1"/>
      <c r="I44" s="1"/>
      <c r="J44" s="1"/>
      <c r="K44" s="5"/>
    </row>
    <row r="45" spans="2:12">
      <c r="B45" s="1"/>
      <c r="C45" s="1"/>
      <c r="D45" s="1"/>
      <c r="E45" s="1"/>
      <c r="F45" s="1"/>
      <c r="G45" s="1"/>
      <c r="H45" s="1"/>
      <c r="I45" s="1"/>
      <c r="J45" s="1"/>
      <c r="K45" s="5"/>
    </row>
    <row r="46" spans="2:12">
      <c r="B46" s="1"/>
      <c r="C46" s="1"/>
      <c r="D46" s="1"/>
      <c r="E46" s="1"/>
      <c r="F46" s="1"/>
      <c r="G46" s="1"/>
      <c r="H46" s="1"/>
      <c r="I46" s="1"/>
      <c r="J46" s="1"/>
      <c r="K46" s="5"/>
    </row>
    <row r="47" spans="2:12">
      <c r="B47" s="1"/>
      <c r="C47" s="1"/>
      <c r="D47" s="1"/>
      <c r="E47" s="1"/>
      <c r="F47" s="1"/>
      <c r="G47" s="1"/>
      <c r="H47" s="1"/>
      <c r="I47" s="1"/>
      <c r="J47" s="1"/>
      <c r="K47" s="5"/>
    </row>
    <row r="48" spans="2:12">
      <c r="B48" s="1"/>
      <c r="C48" s="1"/>
      <c r="D48" s="1"/>
      <c r="E48" s="1"/>
      <c r="F48" s="1"/>
      <c r="G48" s="1"/>
      <c r="H48" s="1"/>
      <c r="I48" s="1"/>
      <c r="J48" s="1"/>
      <c r="K48" s="5"/>
    </row>
    <row r="49" spans="2:11">
      <c r="B49" s="1"/>
      <c r="C49" s="1"/>
      <c r="D49" s="1"/>
      <c r="E49" s="1"/>
      <c r="F49" s="1"/>
      <c r="G49" s="1"/>
      <c r="H49" s="1"/>
      <c r="I49" s="1"/>
      <c r="J49" s="1"/>
      <c r="K49" s="5"/>
    </row>
    <row r="50" spans="2:11">
      <c r="B50" s="1"/>
      <c r="C50" s="1"/>
      <c r="D50" s="1"/>
      <c r="E50" s="1"/>
      <c r="F50" s="1"/>
      <c r="G50" s="1"/>
      <c r="H50" s="1"/>
      <c r="I50" s="1"/>
      <c r="J50" s="1"/>
      <c r="K50" s="5"/>
    </row>
    <row r="55" spans="2:11">
      <c r="B55" s="1"/>
      <c r="C55" s="1"/>
      <c r="D55" s="1"/>
      <c r="E55" s="1"/>
      <c r="F55" s="1"/>
      <c r="G55" s="1"/>
      <c r="H55" s="1"/>
      <c r="I55" s="1"/>
      <c r="J55" s="1"/>
      <c r="K55" s="5"/>
    </row>
    <row r="56" spans="2:11">
      <c r="B56" s="1"/>
      <c r="C56" s="1"/>
      <c r="D56" s="1"/>
      <c r="E56" s="1"/>
      <c r="F56" s="1"/>
      <c r="G56" s="1"/>
      <c r="H56" s="1"/>
      <c r="I56" s="1"/>
      <c r="J56" s="1"/>
      <c r="K56" s="5"/>
    </row>
    <row r="57" spans="2:11">
      <c r="B57" s="1"/>
      <c r="C57" s="1"/>
      <c r="D57" s="1"/>
      <c r="E57" s="1"/>
      <c r="F57" s="1"/>
      <c r="G57" s="1"/>
      <c r="H57" s="1"/>
      <c r="I57" s="1"/>
      <c r="J57" s="1"/>
      <c r="K57" s="5"/>
    </row>
    <row r="58" spans="2:11">
      <c r="B58" s="1"/>
      <c r="C58" s="1"/>
      <c r="D58" s="1"/>
      <c r="E58" s="1"/>
      <c r="F58" s="1"/>
      <c r="G58" s="1"/>
      <c r="H58" s="1"/>
      <c r="I58" s="1"/>
      <c r="J58" s="1"/>
      <c r="K58" s="5"/>
    </row>
    <row r="59" spans="2:11">
      <c r="B59" s="1"/>
      <c r="C59" s="1"/>
      <c r="D59" s="1"/>
      <c r="E59" s="1"/>
      <c r="F59" s="1"/>
      <c r="G59" s="1"/>
      <c r="H59" s="1"/>
      <c r="I59" s="1"/>
      <c r="J59" s="1"/>
      <c r="K59" s="5"/>
    </row>
    <row r="60" spans="2:11">
      <c r="B60" s="1"/>
      <c r="C60" s="1"/>
      <c r="D60" s="1"/>
      <c r="E60" s="1"/>
      <c r="F60" s="1"/>
      <c r="G60" s="1"/>
      <c r="H60" s="1"/>
      <c r="I60" s="1"/>
      <c r="J60" s="1"/>
      <c r="K60" s="5"/>
    </row>
    <row r="61" spans="2:11">
      <c r="B61" s="1"/>
      <c r="C61" s="1"/>
      <c r="D61" s="1"/>
      <c r="E61" s="1"/>
      <c r="F61" s="1"/>
      <c r="G61" s="1"/>
      <c r="H61" s="1"/>
      <c r="I61" s="1"/>
      <c r="J61" s="1"/>
      <c r="K61" s="5"/>
    </row>
  </sheetData>
  <sortState xmlns:xlrd2="http://schemas.microsoft.com/office/spreadsheetml/2017/richdata2" ref="A2:Z8">
    <sortCondition ref="B2:B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509C6-157E-4681-BB0E-CA710041CE50}">
  <dimension ref="A1:Z68"/>
  <sheetViews>
    <sheetView workbookViewId="0">
      <selection activeCell="Y2" sqref="Y2:Y10"/>
    </sheetView>
  </sheetViews>
  <sheetFormatPr defaultColWidth="6.42578125" defaultRowHeight="15"/>
  <cols>
    <col min="1" max="1" width="12.85546875" bestFit="1" customWidth="1"/>
    <col min="2" max="2" width="7.140625" bestFit="1" customWidth="1"/>
    <col min="3" max="3" width="7.7109375" bestFit="1" customWidth="1"/>
    <col min="4" max="4" width="7.28515625" bestFit="1" customWidth="1"/>
    <col min="5" max="5" width="14.28515625" bestFit="1" customWidth="1"/>
    <col min="6" max="6" width="8.7109375" bestFit="1" customWidth="1"/>
    <col min="7" max="7" width="10.42578125" bestFit="1" customWidth="1"/>
    <col min="8" max="9" width="7" bestFit="1" customWidth="1"/>
    <col min="10" max="10" width="6.5703125" bestFit="1" customWidth="1"/>
    <col min="11" max="11" width="7.5703125" style="6" bestFit="1" customWidth="1"/>
    <col min="12" max="12" width="7.28515625" bestFit="1" customWidth="1"/>
    <col min="14" max="14" width="6.140625" style="4" bestFit="1" customWidth="1"/>
    <col min="25" max="25" width="11" bestFit="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s="9" customFormat="1">
      <c r="A2" s="7" t="s">
        <v>29</v>
      </c>
      <c r="B2" s="7" t="s">
        <v>36</v>
      </c>
      <c r="C2" s="7"/>
      <c r="D2" s="7">
        <v>6.63</v>
      </c>
      <c r="E2" s="7">
        <v>1</v>
      </c>
      <c r="F2" s="7">
        <v>5.1630000000000003</v>
      </c>
      <c r="G2" s="7">
        <v>16</v>
      </c>
      <c r="H2" s="7">
        <v>0.11700000000000001</v>
      </c>
      <c r="I2" s="7">
        <v>16</v>
      </c>
      <c r="J2" s="7">
        <v>1.094E-2</v>
      </c>
      <c r="K2" s="7">
        <v>306</v>
      </c>
      <c r="L2"/>
      <c r="M2" s="8">
        <f t="shared" ref="M2:M10" si="0">$D2/$H2</f>
        <v>56.666666666666664</v>
      </c>
      <c r="N2" s="9">
        <f t="shared" ref="N2:N10" si="1">FDIST(M2,$E2,$I2)</f>
        <v>1.2100116018017515E-6</v>
      </c>
      <c r="O2" s="8">
        <f t="shared" ref="O2:O10" si="2">$F2/$H2</f>
        <v>44.128205128205131</v>
      </c>
      <c r="P2" s="9">
        <f t="shared" ref="P2:P10" si="3">FDIST(O2,$G2,$I2)</f>
        <v>3.2548632768888334E-10</v>
      </c>
      <c r="Q2" s="8">
        <f t="shared" ref="Q2:Q10" si="4">$H2/$J2</f>
        <v>10.694698354661792</v>
      </c>
      <c r="R2" s="9">
        <f t="shared" ref="R2:R10" si="5">FDIST(Q2,$I2,$K2)</f>
        <v>1.1847613257999536E-21</v>
      </c>
      <c r="S2" s="10">
        <f t="shared" ref="S2:S10" si="6">$G$4/T2</f>
        <v>1</v>
      </c>
      <c r="T2" s="11">
        <f>IF(ROW(T2)&gt;10,T1-1,$I$4)</f>
        <v>13</v>
      </c>
      <c r="U2" s="12" t="str">
        <f>IF(ROW(U2)&gt;$K$4,IF(AND(R2&lt;S2,LEN(U1)=1),"*","n.s."),IF(R2&lt;S2,"*","n.s."))</f>
        <v>*</v>
      </c>
      <c r="V2" s="8">
        <f t="shared" ref="V2:V10" si="7">100*$J2/$H2</f>
        <v>9.350427350427351</v>
      </c>
      <c r="X2" s="13">
        <f t="shared" ref="X2:X10" si="8">($K2/(($E2+1)*($G2+1)))+1</f>
        <v>10</v>
      </c>
      <c r="Y2" s="12">
        <f t="shared" ref="Y2:Y10" si="9">($H2-$J2)/X2</f>
        <v>1.0606000000000001E-2</v>
      </c>
      <c r="Z2" s="14">
        <f t="shared" ref="Z2:Z10" si="10">(($H2-$J2)*($H2-$J2))/((($H2*$H2)/$I2)+(($J2*$J2)/$K2))</f>
        <v>13.141744248019824</v>
      </c>
    </row>
    <row r="3" spans="1:26" s="9" customFormat="1">
      <c r="A3" s="7" t="s">
        <v>29</v>
      </c>
      <c r="B3" s="7" t="s">
        <v>38</v>
      </c>
      <c r="C3" s="7"/>
      <c r="D3" s="7">
        <v>8.5449999999999999</v>
      </c>
      <c r="E3" s="7">
        <v>1</v>
      </c>
      <c r="F3" s="7">
        <v>10.54</v>
      </c>
      <c r="G3" s="7">
        <v>15</v>
      </c>
      <c r="H3" s="7">
        <v>0.33200000000000002</v>
      </c>
      <c r="I3" s="7">
        <v>15</v>
      </c>
      <c r="J3" s="7">
        <v>2.6589999999999999E-2</v>
      </c>
      <c r="K3" s="7">
        <v>288</v>
      </c>
      <c r="L3"/>
      <c r="M3" s="8">
        <f t="shared" si="0"/>
        <v>25.737951807228914</v>
      </c>
      <c r="N3" s="9">
        <f t="shared" si="1"/>
        <v>1.3745606304684308E-4</v>
      </c>
      <c r="O3" s="8">
        <f t="shared" si="2"/>
        <v>31.746987951807224</v>
      </c>
      <c r="P3" s="9">
        <f t="shared" si="3"/>
        <v>1.2030251344784372E-8</v>
      </c>
      <c r="Q3" s="8">
        <f t="shared" si="4"/>
        <v>12.48589695374201</v>
      </c>
      <c r="R3" s="9">
        <f t="shared" si="5"/>
        <v>7.9798325106847215E-24</v>
      </c>
      <c r="S3" s="10">
        <f t="shared" si="6"/>
        <v>1</v>
      </c>
      <c r="T3" s="11">
        <f>IF(ROW(T3)&gt;10,T2-1,$I$4)</f>
        <v>13</v>
      </c>
      <c r="U3" s="12" t="str">
        <f>IF(ROW(U3)&gt;$K$4,IF(AND(R3&lt;S3,LEN(U2)=1),"*","n.s."),IF(R3&lt;S3,"*","n.s."))</f>
        <v>*</v>
      </c>
      <c r="V3" s="8">
        <f t="shared" si="7"/>
        <v>8.009036144578312</v>
      </c>
      <c r="X3" s="13">
        <f t="shared" si="8"/>
        <v>10</v>
      </c>
      <c r="Y3" s="12">
        <f t="shared" si="9"/>
        <v>3.0541000000000002E-2</v>
      </c>
      <c r="Z3" s="14">
        <f t="shared" si="10"/>
        <v>12.689266830396939</v>
      </c>
    </row>
    <row r="4" spans="1:26" s="9" customFormat="1">
      <c r="A4" s="7" t="s">
        <v>29</v>
      </c>
      <c r="B4" s="7" t="s">
        <v>35</v>
      </c>
      <c r="C4" s="7"/>
      <c r="D4" s="7">
        <v>10.146000000000001</v>
      </c>
      <c r="E4" s="7">
        <v>1</v>
      </c>
      <c r="F4" s="7">
        <v>17.82</v>
      </c>
      <c r="G4" s="7">
        <v>13</v>
      </c>
      <c r="H4" s="7">
        <v>0.107</v>
      </c>
      <c r="I4" s="7">
        <v>13</v>
      </c>
      <c r="J4" s="7">
        <v>2.29E-2</v>
      </c>
      <c r="K4" s="7">
        <v>252</v>
      </c>
      <c r="L4"/>
      <c r="M4" s="8">
        <f t="shared" si="0"/>
        <v>94.822429906542069</v>
      </c>
      <c r="N4" s="9">
        <f t="shared" si="1"/>
        <v>2.4471028224728321E-7</v>
      </c>
      <c r="O4" s="8">
        <f t="shared" si="2"/>
        <v>166.54205607476635</v>
      </c>
      <c r="P4" s="9">
        <f t="shared" si="3"/>
        <v>3.0185221714481454E-12</v>
      </c>
      <c r="Q4" s="8">
        <f t="shared" si="4"/>
        <v>4.6724890829694319</v>
      </c>
      <c r="R4" s="9">
        <f t="shared" si="5"/>
        <v>3.1955474020160137E-7</v>
      </c>
      <c r="S4" s="10">
        <f t="shared" si="6"/>
        <v>1</v>
      </c>
      <c r="T4" s="11">
        <f>IF(ROW(T4)&gt;10,T3-1,$I$4)</f>
        <v>13</v>
      </c>
      <c r="U4" s="12" t="str">
        <f>IF(ROW(U4)&gt;$K$4,IF(AND(R4&lt;S4,LEN(U3)=1),"*","n.s."),IF(R4&lt;S4,"*","n.s."))</f>
        <v>*</v>
      </c>
      <c r="V4" s="8">
        <f t="shared" si="7"/>
        <v>21.401869158878505</v>
      </c>
      <c r="X4" s="13">
        <f t="shared" si="8"/>
        <v>10</v>
      </c>
      <c r="Y4" s="12">
        <f t="shared" si="9"/>
        <v>8.4099999999999991E-3</v>
      </c>
      <c r="Z4" s="14">
        <f t="shared" si="10"/>
        <v>8.0120343489733337</v>
      </c>
    </row>
    <row r="5" spans="1:26" s="9" customFormat="1">
      <c r="A5" s="7" t="s">
        <v>29</v>
      </c>
      <c r="B5" s="7" t="s">
        <v>32</v>
      </c>
      <c r="C5" s="7"/>
      <c r="D5" s="7">
        <v>3.0988000000000002</v>
      </c>
      <c r="E5" s="7">
        <v>1</v>
      </c>
      <c r="F5" s="7">
        <v>4.8440000000000003</v>
      </c>
      <c r="G5" s="7">
        <v>14</v>
      </c>
      <c r="H5" s="7">
        <v>9.3100000000000002E-2</v>
      </c>
      <c r="I5" s="7">
        <v>14</v>
      </c>
      <c r="J5" s="7">
        <v>1.3270000000000001E-2</v>
      </c>
      <c r="K5" s="7">
        <v>270</v>
      </c>
      <c r="L5"/>
      <c r="M5" s="8">
        <f t="shared" si="0"/>
        <v>33.284640171858221</v>
      </c>
      <c r="N5" s="9">
        <f t="shared" si="1"/>
        <v>4.8573156726446007E-5</v>
      </c>
      <c r="O5" s="8">
        <f t="shared" si="2"/>
        <v>52.030075187969928</v>
      </c>
      <c r="P5" s="9">
        <f t="shared" si="3"/>
        <v>1.3168514815834121E-9</v>
      </c>
      <c r="Q5" s="8">
        <f t="shared" si="4"/>
        <v>7.0158251695553879</v>
      </c>
      <c r="R5" s="9">
        <f t="shared" si="5"/>
        <v>2.5817387088014068E-12</v>
      </c>
      <c r="S5" s="10">
        <f t="shared" si="6"/>
        <v>1</v>
      </c>
      <c r="T5" s="11">
        <f>IF(ROW(T5)&gt;10,T4-1,$I$4)</f>
        <v>13</v>
      </c>
      <c r="U5" s="12" t="str">
        <f>IF(ROW(U5)&gt;$K$4,IF(AND(R5&lt;S5,LEN(U4)=1),"*","n.s."),IF(R5&lt;S5,"*","n.s."))</f>
        <v>*</v>
      </c>
      <c r="V5" s="8">
        <f t="shared" si="7"/>
        <v>14.253490870032223</v>
      </c>
      <c r="X5" s="13">
        <f t="shared" si="8"/>
        <v>10</v>
      </c>
      <c r="Y5" s="12">
        <f t="shared" si="9"/>
        <v>7.9830000000000005E-3</v>
      </c>
      <c r="Z5" s="14">
        <f t="shared" si="10"/>
        <v>10.282617314843611</v>
      </c>
    </row>
    <row r="6" spans="1:26" s="9" customFormat="1">
      <c r="A6" s="7" t="s">
        <v>29</v>
      </c>
      <c r="B6" s="7" t="s">
        <v>37</v>
      </c>
      <c r="C6" s="7"/>
      <c r="D6" s="7">
        <v>3.9329999999999998</v>
      </c>
      <c r="E6" s="7">
        <v>1</v>
      </c>
      <c r="F6" s="7">
        <v>3.8759999999999999</v>
      </c>
      <c r="G6" s="7">
        <v>30</v>
      </c>
      <c r="H6" s="7">
        <v>8.1000000000000003E-2</v>
      </c>
      <c r="I6" s="7">
        <v>30</v>
      </c>
      <c r="J6" s="7">
        <v>8.2330000000000007E-3</v>
      </c>
      <c r="K6" s="7">
        <v>558</v>
      </c>
      <c r="L6"/>
      <c r="M6" s="8">
        <f t="shared" si="0"/>
        <v>48.55555555555555</v>
      </c>
      <c r="N6" s="9">
        <f t="shared" si="1"/>
        <v>9.6684728463238548E-8</v>
      </c>
      <c r="O6" s="8">
        <f t="shared" si="2"/>
        <v>47.851851851851848</v>
      </c>
      <c r="P6" s="9">
        <f t="shared" si="3"/>
        <v>2.7457400088149626E-18</v>
      </c>
      <c r="Q6" s="8">
        <f t="shared" si="4"/>
        <v>9.8384549981780633</v>
      </c>
      <c r="R6" s="9">
        <f t="shared" si="5"/>
        <v>4.0007564296510414E-35</v>
      </c>
      <c r="S6" s="10">
        <f t="shared" si="6"/>
        <v>1</v>
      </c>
      <c r="T6" s="11">
        <f>IF(ROW(T6)&gt;10,T5-1,$I$4)</f>
        <v>13</v>
      </c>
      <c r="U6" s="12" t="str">
        <f>IF(ROW(U6)&gt;$K$4,IF(AND(R6&lt;S6,LEN(U5)=1),"*","n.s."),IF(R6&lt;S6,"*","n.s."))</f>
        <v>*</v>
      </c>
      <c r="V6" s="8">
        <f t="shared" si="7"/>
        <v>10.164197530864197</v>
      </c>
      <c r="X6" s="13">
        <f t="shared" si="8"/>
        <v>10</v>
      </c>
      <c r="Y6" s="12">
        <f t="shared" si="9"/>
        <v>7.2766999999999997E-3</v>
      </c>
      <c r="Z6" s="14">
        <f t="shared" si="10"/>
        <v>24.197973814047177</v>
      </c>
    </row>
    <row r="7" spans="1:26" s="9" customFormat="1">
      <c r="A7" s="7" t="s">
        <v>29</v>
      </c>
      <c r="B7" s="7" t="s">
        <v>39</v>
      </c>
      <c r="C7" s="7"/>
      <c r="D7" s="7">
        <v>11.56</v>
      </c>
      <c r="E7" s="7">
        <v>1</v>
      </c>
      <c r="F7" s="7">
        <v>11.71</v>
      </c>
      <c r="G7" s="7">
        <v>33</v>
      </c>
      <c r="H7" s="7">
        <v>0.218</v>
      </c>
      <c r="I7" s="7">
        <v>33</v>
      </c>
      <c r="J7" s="7">
        <v>1.116E-2</v>
      </c>
      <c r="K7" s="7">
        <v>612</v>
      </c>
      <c r="L7"/>
      <c r="M7" s="8">
        <f t="shared" si="0"/>
        <v>53.027522935779821</v>
      </c>
      <c r="N7" s="9">
        <f t="shared" si="1"/>
        <v>2.3496357534130555E-8</v>
      </c>
      <c r="O7" s="8">
        <f t="shared" si="2"/>
        <v>53.715596330275233</v>
      </c>
      <c r="P7" s="9">
        <f t="shared" si="3"/>
        <v>9.4745802385274616E-21</v>
      </c>
      <c r="Q7" s="8">
        <f t="shared" si="4"/>
        <v>19.534050179211469</v>
      </c>
      <c r="R7" s="9">
        <f t="shared" si="5"/>
        <v>8.1073520552933237E-75</v>
      </c>
      <c r="S7" s="10">
        <f t="shared" si="6"/>
        <v>1</v>
      </c>
      <c r="T7" s="11">
        <f>IF(ROW(T7)&gt;10,S6-1,$I$4)</f>
        <v>13</v>
      </c>
      <c r="U7" s="12" t="str">
        <f>IF(ROW(U7)&gt;$K$4,IF(AND(R7&lt;S7,LEN(T6)=1),"*","n.s."),IF(R7&lt;S7,"*","n.s."))</f>
        <v>*</v>
      </c>
      <c r="V7" s="8">
        <f t="shared" si="7"/>
        <v>5.1192660550458706</v>
      </c>
      <c r="X7" s="13">
        <f t="shared" si="8"/>
        <v>10</v>
      </c>
      <c r="Y7" s="12">
        <f t="shared" si="9"/>
        <v>2.0684000000000001E-2</v>
      </c>
      <c r="Z7" s="14">
        <f t="shared" si="10"/>
        <v>29.703569663999964</v>
      </c>
    </row>
    <row r="8" spans="1:26" s="9" customFormat="1">
      <c r="A8" s="7" t="s">
        <v>29</v>
      </c>
      <c r="B8" s="7" t="s">
        <v>34</v>
      </c>
      <c r="C8" s="7"/>
      <c r="D8" s="7">
        <v>5.2750000000000004</v>
      </c>
      <c r="E8" s="7">
        <v>1</v>
      </c>
      <c r="F8" s="7">
        <v>18.32</v>
      </c>
      <c r="G8" s="7">
        <v>33</v>
      </c>
      <c r="H8" s="7">
        <v>0.189</v>
      </c>
      <c r="I8" s="7">
        <v>33</v>
      </c>
      <c r="J8" s="7">
        <v>1.338E-2</v>
      </c>
      <c r="K8" s="7">
        <v>612</v>
      </c>
      <c r="L8"/>
      <c r="M8" s="8">
        <f t="shared" si="0"/>
        <v>27.910052910052912</v>
      </c>
      <c r="N8" s="9">
        <f t="shared" si="1"/>
        <v>8.0041232458927038E-6</v>
      </c>
      <c r="O8" s="8">
        <f t="shared" si="2"/>
        <v>96.931216931216937</v>
      </c>
      <c r="P8" s="9">
        <f t="shared" si="3"/>
        <v>7.1952470426478557E-25</v>
      </c>
      <c r="Q8" s="8">
        <f t="shared" si="4"/>
        <v>14.125560538116593</v>
      </c>
      <c r="R8" s="9">
        <f t="shared" si="5"/>
        <v>1.3305554373183191E-55</v>
      </c>
      <c r="S8" s="10">
        <f t="shared" si="6"/>
        <v>1</v>
      </c>
      <c r="T8" s="11">
        <f>IF(ROW(T8)&gt;10,T7-1,$I$4)</f>
        <v>13</v>
      </c>
      <c r="U8" s="12" t="str">
        <f>IF(ROW(U8)&gt;$K$4,IF(AND(R8&lt;S8,LEN(U7)=1),"*","n.s."),IF(R8&lt;S8,"*","n.s."))</f>
        <v>*</v>
      </c>
      <c r="V8" s="8">
        <f t="shared" si="7"/>
        <v>7.0793650793650782</v>
      </c>
      <c r="X8" s="13">
        <f t="shared" si="8"/>
        <v>10</v>
      </c>
      <c r="Y8" s="12">
        <f t="shared" si="9"/>
        <v>1.7562000000000001E-2</v>
      </c>
      <c r="Z8" s="14">
        <f t="shared" si="10"/>
        <v>28.485308603921958</v>
      </c>
    </row>
    <row r="9" spans="1:26" s="9" customFormat="1">
      <c r="A9" s="7" t="s">
        <v>29</v>
      </c>
      <c r="B9" s="7" t="s">
        <v>33</v>
      </c>
      <c r="C9" s="7"/>
      <c r="D9" s="7">
        <v>0.98209999999999997</v>
      </c>
      <c r="E9" s="7">
        <v>1</v>
      </c>
      <c r="F9" s="7">
        <v>5.9829999999999997</v>
      </c>
      <c r="G9" s="7">
        <v>24</v>
      </c>
      <c r="H9" s="7">
        <v>0.32879999999999998</v>
      </c>
      <c r="I9" s="7">
        <v>24</v>
      </c>
      <c r="J9" s="7">
        <v>1.5879999999999998E-2</v>
      </c>
      <c r="K9" s="7">
        <v>450</v>
      </c>
      <c r="L9"/>
      <c r="M9" s="8">
        <f t="shared" si="0"/>
        <v>2.9869221411192215</v>
      </c>
      <c r="N9" s="9">
        <f t="shared" si="1"/>
        <v>9.6786575628891966E-2</v>
      </c>
      <c r="O9" s="8">
        <f t="shared" si="2"/>
        <v>18.196472019464721</v>
      </c>
      <c r="P9" s="9">
        <f t="shared" si="3"/>
        <v>3.1426089757607727E-10</v>
      </c>
      <c r="Q9" s="8">
        <f t="shared" si="4"/>
        <v>20.705289672544083</v>
      </c>
      <c r="R9" s="9">
        <f t="shared" si="5"/>
        <v>4.3547493118541676E-58</v>
      </c>
      <c r="S9" s="10">
        <f t="shared" si="6"/>
        <v>1</v>
      </c>
      <c r="T9" s="11">
        <f>IF(ROW(T9)&gt;10,T8-1,$I$4)</f>
        <v>13</v>
      </c>
      <c r="U9" s="12" t="str">
        <f>IF(ROW(U9)&gt;$K$4,IF(AND(R9&lt;S9,LEN(U8)=1),"*","n.s."),IF(R9&lt;S9,"*","n.s."))</f>
        <v>*</v>
      </c>
      <c r="V9" s="8">
        <f t="shared" si="7"/>
        <v>4.8296836982968365</v>
      </c>
      <c r="X9" s="13">
        <f t="shared" si="8"/>
        <v>10</v>
      </c>
      <c r="Y9" s="12">
        <f t="shared" si="9"/>
        <v>3.1292E-2</v>
      </c>
      <c r="Z9" s="14">
        <f t="shared" si="10"/>
        <v>21.735029916288223</v>
      </c>
    </row>
    <row r="10" spans="1:26" s="9" customFormat="1">
      <c r="A10" s="7" t="s">
        <v>29</v>
      </c>
      <c r="B10" s="7" t="s">
        <v>31</v>
      </c>
      <c r="C10" s="7"/>
      <c r="D10" s="7">
        <v>9.6489999999999991</v>
      </c>
      <c r="E10" s="7">
        <v>1</v>
      </c>
      <c r="F10" s="7">
        <v>5.415</v>
      </c>
      <c r="G10" s="7">
        <v>28</v>
      </c>
      <c r="H10" s="7">
        <v>0.22600000000000001</v>
      </c>
      <c r="I10" s="7">
        <v>28</v>
      </c>
      <c r="J10" s="7">
        <v>1.5810000000000001E-2</v>
      </c>
      <c r="K10" s="7">
        <v>522</v>
      </c>
      <c r="L10"/>
      <c r="M10" s="8">
        <f t="shared" si="0"/>
        <v>42.69469026548672</v>
      </c>
      <c r="N10" s="9">
        <f t="shared" si="1"/>
        <v>4.402850808907935E-7</v>
      </c>
      <c r="O10" s="8">
        <f t="shared" si="2"/>
        <v>23.960176991150441</v>
      </c>
      <c r="P10" s="9">
        <f t="shared" si="3"/>
        <v>3.356575789347749E-13</v>
      </c>
      <c r="Q10" s="8">
        <f t="shared" si="4"/>
        <v>14.294750158127767</v>
      </c>
      <c r="R10" s="9">
        <f t="shared" si="5"/>
        <v>3.743175574147845E-48</v>
      </c>
      <c r="S10" s="10">
        <f t="shared" si="6"/>
        <v>1</v>
      </c>
      <c r="T10" s="11">
        <f>IF(ROW(T10)&gt;10,T9-1,$I$4)</f>
        <v>13</v>
      </c>
      <c r="U10" s="12" t="str">
        <f>IF(ROW(U10)&gt;$K$4,IF(AND(R10&lt;S10,LEN(U9)=1),"*","n.s."),IF(R10&lt;S10,"*","n.s."))</f>
        <v>*</v>
      </c>
      <c r="V10" s="8">
        <f t="shared" si="7"/>
        <v>6.9955752212389388</v>
      </c>
      <c r="X10" s="13">
        <f t="shared" si="8"/>
        <v>10</v>
      </c>
      <c r="Y10" s="12">
        <f t="shared" si="9"/>
        <v>2.1019000000000003E-2</v>
      </c>
      <c r="Z10" s="14">
        <f t="shared" si="10"/>
        <v>24.213148453751359</v>
      </c>
    </row>
    <row r="11" spans="1:26">
      <c r="B11" s="1"/>
      <c r="O11" s="2"/>
    </row>
    <row r="12" spans="1:26">
      <c r="B12" s="1"/>
      <c r="O12" s="2"/>
    </row>
    <row r="13" spans="1:26">
      <c r="A13" s="1"/>
      <c r="B13" s="1"/>
      <c r="O13" s="2"/>
    </row>
    <row r="14" spans="1:26">
      <c r="A14" s="1"/>
      <c r="B14" s="1"/>
      <c r="O14" s="2"/>
    </row>
    <row r="15" spans="1:26">
      <c r="A15" s="1"/>
      <c r="B15" s="1"/>
      <c r="O15" s="2"/>
    </row>
    <row r="16" spans="1:26">
      <c r="A16" s="1"/>
      <c r="B16" s="1"/>
      <c r="O16" s="2"/>
    </row>
    <row r="17" spans="1:15">
      <c r="A17" s="1"/>
      <c r="B17" s="1"/>
      <c r="C17" s="1"/>
      <c r="D17" s="1"/>
      <c r="E17" s="1"/>
      <c r="F17" s="1"/>
      <c r="G17" s="1"/>
      <c r="H17" s="1"/>
      <c r="I17" s="1"/>
      <c r="J17" s="1"/>
      <c r="K17" s="5"/>
      <c r="O17" s="2"/>
    </row>
    <row r="18" spans="1:15">
      <c r="A18" s="1"/>
      <c r="B18" s="1"/>
      <c r="C18" s="1"/>
      <c r="D18" s="1"/>
      <c r="E18" s="1"/>
      <c r="F18" s="1"/>
      <c r="G18" s="1"/>
      <c r="H18" s="1"/>
      <c r="I18" s="1"/>
      <c r="J18" s="1"/>
      <c r="K18" s="5"/>
      <c r="O18" s="2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5"/>
      <c r="O19" s="2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5"/>
      <c r="M20" s="2"/>
      <c r="O20" s="2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5"/>
      <c r="M21" s="2"/>
      <c r="O21" s="2"/>
    </row>
    <row r="22" spans="1:15">
      <c r="B22" s="1"/>
      <c r="C22" s="1"/>
      <c r="D22" s="1"/>
      <c r="E22" s="1"/>
      <c r="F22" s="1"/>
      <c r="G22" s="1"/>
      <c r="H22" s="1"/>
      <c r="I22" s="1"/>
      <c r="J22" s="1"/>
      <c r="K22" s="5"/>
      <c r="M22" s="2"/>
      <c r="O22" s="2"/>
    </row>
    <row r="23" spans="1:15">
      <c r="B23" s="1"/>
      <c r="C23" s="1"/>
      <c r="D23" s="1"/>
      <c r="E23" s="1"/>
      <c r="F23" s="1"/>
      <c r="G23" s="1"/>
      <c r="H23" s="1"/>
      <c r="I23" s="1"/>
      <c r="J23" s="1"/>
      <c r="K23" s="5"/>
      <c r="M23" s="2"/>
      <c r="O23" s="2"/>
    </row>
    <row r="24" spans="1:15">
      <c r="B24" s="1"/>
      <c r="C24" s="1"/>
      <c r="D24" s="1"/>
      <c r="E24" s="1"/>
      <c r="F24" s="1"/>
      <c r="G24" s="1"/>
      <c r="H24" s="1"/>
      <c r="I24" s="1"/>
      <c r="J24" s="1"/>
      <c r="K24" s="5"/>
      <c r="M24" s="2"/>
      <c r="O24" s="2"/>
    </row>
    <row r="25" spans="1:15">
      <c r="B25" s="1"/>
      <c r="C25" s="1"/>
      <c r="D25" s="1"/>
      <c r="E25" s="1"/>
      <c r="F25" s="1"/>
      <c r="G25" s="1"/>
      <c r="H25" s="1"/>
      <c r="I25" s="1"/>
      <c r="J25" s="1"/>
      <c r="K25" s="5"/>
      <c r="L25" s="2"/>
      <c r="M25" s="2"/>
      <c r="O25" s="2"/>
    </row>
    <row r="26" spans="1:15">
      <c r="B26" s="1"/>
      <c r="C26" s="1"/>
      <c r="D26" s="1"/>
      <c r="E26" s="1"/>
      <c r="F26" s="1"/>
      <c r="G26" s="1"/>
      <c r="H26" s="1"/>
      <c r="I26" s="1"/>
      <c r="J26" s="1"/>
      <c r="K26" s="5"/>
      <c r="L26" s="2"/>
      <c r="O26" s="2"/>
    </row>
    <row r="27" spans="1:15">
      <c r="B27" s="1"/>
      <c r="C27" s="1"/>
      <c r="D27" s="1"/>
      <c r="E27" s="1"/>
      <c r="F27" s="1"/>
      <c r="G27" s="1"/>
      <c r="H27" s="1"/>
      <c r="I27" s="1"/>
      <c r="J27" s="1"/>
      <c r="K27" s="5"/>
      <c r="L27" s="2"/>
    </row>
    <row r="28" spans="1:15">
      <c r="B28" s="1"/>
      <c r="C28" s="1"/>
      <c r="D28" s="1"/>
      <c r="E28" s="1"/>
      <c r="F28" s="1"/>
      <c r="G28" s="1"/>
      <c r="H28" s="1"/>
      <c r="I28" s="1"/>
      <c r="J28" s="1"/>
      <c r="K28" s="5"/>
      <c r="L28" s="2"/>
    </row>
    <row r="29" spans="1:15">
      <c r="B29" s="1"/>
      <c r="C29" s="1"/>
      <c r="D29" s="1"/>
      <c r="E29" s="1"/>
      <c r="F29" s="1"/>
      <c r="G29" s="1"/>
      <c r="H29" s="1"/>
      <c r="I29" s="1"/>
      <c r="J29" s="1"/>
      <c r="K29" s="5"/>
      <c r="L29" s="2"/>
    </row>
    <row r="30" spans="1:15">
      <c r="B30" s="1"/>
      <c r="C30" s="1"/>
      <c r="D30" s="1"/>
      <c r="E30" s="1"/>
      <c r="F30" s="1"/>
      <c r="G30" s="1"/>
      <c r="H30" s="1"/>
      <c r="I30" s="1"/>
      <c r="J30" s="1"/>
      <c r="K30" s="5"/>
      <c r="L30" s="2"/>
    </row>
    <row r="31" spans="1:15">
      <c r="B31" s="1"/>
      <c r="C31" s="1"/>
      <c r="D31" s="1"/>
      <c r="E31" s="1"/>
      <c r="F31" s="1"/>
      <c r="G31" s="1"/>
      <c r="H31" s="1"/>
      <c r="I31" s="1"/>
      <c r="J31" s="1"/>
      <c r="K31" s="5"/>
      <c r="L31" s="2"/>
    </row>
    <row r="32" spans="1:15">
      <c r="B32" s="1"/>
      <c r="C32" s="1"/>
      <c r="D32" s="1"/>
      <c r="E32" s="1"/>
      <c r="F32" s="1"/>
      <c r="G32" s="1"/>
      <c r="H32" s="1"/>
      <c r="I32" s="1"/>
      <c r="J32" s="1"/>
      <c r="K32" s="5"/>
      <c r="L32" s="2"/>
    </row>
    <row r="36" spans="2:12">
      <c r="D36" s="1"/>
      <c r="E36" s="1"/>
      <c r="F36" s="1"/>
      <c r="G36" s="1"/>
      <c r="H36" s="1"/>
      <c r="I36" s="1"/>
      <c r="J36" s="1"/>
      <c r="K36" s="5"/>
    </row>
    <row r="37" spans="2:12">
      <c r="D37" s="1"/>
      <c r="E37" s="1"/>
      <c r="F37" s="1"/>
      <c r="G37" s="1"/>
      <c r="H37" s="1"/>
      <c r="I37" s="1"/>
      <c r="J37" s="1"/>
      <c r="K37" s="5"/>
    </row>
    <row r="38" spans="2:12">
      <c r="B38" s="1"/>
      <c r="C38" s="1"/>
      <c r="D38" s="1"/>
      <c r="E38" s="1"/>
      <c r="F38" s="1"/>
      <c r="G38" s="1"/>
      <c r="H38" s="1"/>
      <c r="I38" s="1"/>
      <c r="J38" s="1"/>
      <c r="K38" s="5"/>
    </row>
    <row r="39" spans="2:12">
      <c r="B39" s="1"/>
      <c r="C39" s="1"/>
      <c r="D39" s="1"/>
      <c r="E39" s="1"/>
      <c r="F39" s="1"/>
      <c r="G39" s="1"/>
      <c r="H39" s="1"/>
      <c r="I39" s="1"/>
      <c r="J39" s="1"/>
      <c r="K39" s="5"/>
    </row>
    <row r="40" spans="2:12">
      <c r="B40" s="1"/>
      <c r="C40" s="1"/>
      <c r="D40" s="1"/>
      <c r="E40" s="1"/>
      <c r="F40" s="1"/>
      <c r="G40" s="1"/>
      <c r="H40" s="1"/>
      <c r="I40" s="1"/>
      <c r="J40" s="1"/>
      <c r="K40" s="5"/>
      <c r="L40" s="2"/>
    </row>
    <row r="41" spans="2:12">
      <c r="B41" s="1"/>
      <c r="C41" s="1"/>
      <c r="D41" s="1"/>
      <c r="E41" s="1"/>
      <c r="F41" s="1"/>
      <c r="G41" s="1"/>
      <c r="H41" s="1"/>
      <c r="I41" s="1"/>
      <c r="J41" s="1"/>
      <c r="K41" s="5"/>
      <c r="L41" s="2"/>
    </row>
    <row r="42" spans="2:12">
      <c r="B42" s="1"/>
      <c r="C42" s="1"/>
      <c r="D42" s="1"/>
      <c r="E42" s="1"/>
      <c r="F42" s="1"/>
      <c r="G42" s="1"/>
      <c r="H42" s="1"/>
      <c r="I42" s="1"/>
      <c r="J42" s="1"/>
      <c r="L42" s="2"/>
    </row>
    <row r="43" spans="2:12">
      <c r="B43" s="1"/>
      <c r="C43" s="1"/>
      <c r="D43" s="1"/>
      <c r="E43" s="1"/>
      <c r="F43" s="1"/>
      <c r="G43" s="1"/>
      <c r="H43" s="1"/>
      <c r="I43" s="1"/>
      <c r="J43" s="1"/>
      <c r="L43" s="2"/>
    </row>
    <row r="44" spans="2:12">
      <c r="B44" s="1"/>
      <c r="C44" s="1"/>
      <c r="D44" s="1"/>
      <c r="E44" s="1"/>
      <c r="F44" s="1"/>
      <c r="G44" s="1"/>
      <c r="H44" s="1"/>
      <c r="I44" s="1"/>
      <c r="J44" s="1"/>
      <c r="L44" s="2"/>
    </row>
    <row r="45" spans="2:12">
      <c r="B45" s="1"/>
      <c r="C45" s="1"/>
      <c r="D45" s="1"/>
      <c r="E45" s="1"/>
      <c r="F45" s="1"/>
      <c r="G45" s="1"/>
      <c r="H45" s="1"/>
      <c r="I45" s="1"/>
      <c r="J45" s="1"/>
      <c r="L45" s="2"/>
    </row>
    <row r="46" spans="2:12">
      <c r="B46" s="1"/>
      <c r="C46" s="1"/>
      <c r="D46" s="1"/>
      <c r="E46" s="1"/>
      <c r="F46" s="1"/>
      <c r="G46" s="1"/>
      <c r="H46" s="1"/>
      <c r="I46" s="1"/>
      <c r="J46" s="1"/>
      <c r="L46" s="2"/>
    </row>
    <row r="47" spans="2:12">
      <c r="B47" s="1"/>
      <c r="C47" s="1"/>
      <c r="D47" s="1"/>
      <c r="E47" s="1"/>
      <c r="F47" s="1"/>
      <c r="G47" s="1"/>
      <c r="H47" s="1"/>
      <c r="I47" s="1"/>
      <c r="J47" s="1"/>
      <c r="L47" s="2"/>
    </row>
    <row r="48" spans="2:12">
      <c r="B48" s="1"/>
      <c r="C48" s="1"/>
      <c r="D48" s="1"/>
      <c r="E48" s="1"/>
      <c r="F48" s="1"/>
      <c r="G48" s="1"/>
      <c r="H48" s="1"/>
      <c r="I48" s="1"/>
      <c r="J48" s="1"/>
    </row>
    <row r="49" spans="2:11">
      <c r="B49" s="1"/>
      <c r="C49" s="1"/>
      <c r="D49" s="1"/>
      <c r="E49" s="1"/>
      <c r="F49" s="1"/>
      <c r="G49" s="1"/>
      <c r="H49" s="1"/>
      <c r="I49" s="1"/>
      <c r="J49" s="1"/>
    </row>
    <row r="50" spans="2:11">
      <c r="B50" s="1"/>
      <c r="C50" s="1"/>
      <c r="D50" s="1"/>
      <c r="E50" s="1"/>
      <c r="F50" s="1"/>
      <c r="G50" s="1"/>
      <c r="H50" s="1"/>
      <c r="I50" s="1"/>
      <c r="J50" s="1"/>
      <c r="K50" s="5"/>
    </row>
    <row r="51" spans="2:11">
      <c r="B51" s="1"/>
      <c r="C51" s="1"/>
      <c r="D51" s="1"/>
      <c r="E51" s="1"/>
      <c r="F51" s="1"/>
      <c r="G51" s="1"/>
      <c r="H51" s="1"/>
      <c r="I51" s="1"/>
      <c r="J51" s="1"/>
      <c r="K51" s="5"/>
    </row>
    <row r="52" spans="2:11">
      <c r="B52" s="1"/>
      <c r="C52" s="1"/>
      <c r="D52" s="1"/>
      <c r="E52" s="1"/>
      <c r="F52" s="1"/>
      <c r="G52" s="1"/>
      <c r="H52" s="1"/>
      <c r="I52" s="1"/>
      <c r="J52" s="1"/>
      <c r="K52" s="5"/>
    </row>
    <row r="53" spans="2:11">
      <c r="B53" s="1"/>
      <c r="C53" s="1"/>
      <c r="D53" s="1"/>
      <c r="E53" s="1"/>
      <c r="F53" s="1"/>
      <c r="G53" s="1"/>
      <c r="H53" s="1"/>
      <c r="I53" s="1"/>
      <c r="J53" s="1"/>
      <c r="K53" s="5"/>
    </row>
    <row r="54" spans="2:11">
      <c r="B54" s="1"/>
      <c r="C54" s="1"/>
      <c r="D54" s="1"/>
      <c r="E54" s="1"/>
      <c r="F54" s="1"/>
      <c r="G54" s="1"/>
      <c r="H54" s="1"/>
      <c r="I54" s="1"/>
      <c r="J54" s="1"/>
      <c r="K54" s="5"/>
    </row>
    <row r="55" spans="2:11">
      <c r="B55" s="1"/>
      <c r="C55" s="1"/>
      <c r="D55" s="1"/>
      <c r="E55" s="1"/>
      <c r="F55" s="1"/>
      <c r="G55" s="1"/>
      <c r="H55" s="1"/>
      <c r="I55" s="1"/>
      <c r="J55" s="1"/>
      <c r="K55" s="5"/>
    </row>
    <row r="56" spans="2:11">
      <c r="B56" s="1"/>
      <c r="C56" s="1"/>
      <c r="D56" s="1"/>
      <c r="E56" s="1"/>
      <c r="F56" s="1"/>
      <c r="G56" s="1"/>
      <c r="H56" s="1"/>
      <c r="I56" s="1"/>
      <c r="J56" s="1"/>
      <c r="K56" s="5"/>
    </row>
    <row r="57" spans="2:11">
      <c r="B57" s="1"/>
      <c r="C57" s="1"/>
      <c r="D57" s="1"/>
      <c r="E57" s="1"/>
      <c r="F57" s="1"/>
      <c r="G57" s="1"/>
      <c r="H57" s="1"/>
      <c r="I57" s="1"/>
      <c r="J57" s="1"/>
      <c r="K57" s="5"/>
    </row>
    <row r="62" spans="2:11">
      <c r="B62" s="1"/>
      <c r="C62" s="1"/>
      <c r="D62" s="1"/>
      <c r="E62" s="1"/>
      <c r="F62" s="1"/>
      <c r="G62" s="1"/>
      <c r="H62" s="1"/>
      <c r="I62" s="1"/>
      <c r="J62" s="1"/>
      <c r="K62" s="5"/>
    </row>
    <row r="63" spans="2:11">
      <c r="B63" s="1"/>
      <c r="C63" s="1"/>
      <c r="D63" s="1"/>
      <c r="E63" s="1"/>
      <c r="F63" s="1"/>
      <c r="G63" s="1"/>
      <c r="H63" s="1"/>
      <c r="I63" s="1"/>
      <c r="J63" s="1"/>
      <c r="K63" s="5"/>
    </row>
    <row r="64" spans="2:11">
      <c r="B64" s="1"/>
      <c r="C64" s="1"/>
      <c r="D64" s="1"/>
      <c r="E64" s="1"/>
      <c r="F64" s="1"/>
      <c r="G64" s="1"/>
      <c r="H64" s="1"/>
      <c r="I64" s="1"/>
      <c r="J64" s="1"/>
      <c r="K64" s="5"/>
    </row>
    <row r="65" spans="2:11">
      <c r="B65" s="1"/>
      <c r="C65" s="1"/>
      <c r="D65" s="1"/>
      <c r="E65" s="1"/>
      <c r="F65" s="1"/>
      <c r="G65" s="1"/>
      <c r="H65" s="1"/>
      <c r="I65" s="1"/>
      <c r="J65" s="1"/>
      <c r="K65" s="5"/>
    </row>
    <row r="66" spans="2:11">
      <c r="B66" s="1"/>
      <c r="C66" s="1"/>
      <c r="D66" s="1"/>
      <c r="E66" s="1"/>
      <c r="F66" s="1"/>
      <c r="G66" s="1"/>
      <c r="H66" s="1"/>
      <c r="I66" s="1"/>
      <c r="J66" s="1"/>
      <c r="K66" s="5"/>
    </row>
    <row r="67" spans="2:11">
      <c r="B67" s="1"/>
      <c r="C67" s="1"/>
      <c r="D67" s="1"/>
      <c r="E67" s="1"/>
      <c r="F67" s="1"/>
      <c r="G67" s="1"/>
      <c r="H67" s="1"/>
      <c r="I67" s="1"/>
      <c r="J67" s="1"/>
      <c r="K67" s="5"/>
    </row>
    <row r="68" spans="2:11">
      <c r="B68" s="1"/>
      <c r="C68" s="1"/>
      <c r="D68" s="1"/>
      <c r="E68" s="1"/>
      <c r="F68" s="1"/>
      <c r="G68" s="1"/>
      <c r="H68" s="1"/>
      <c r="I68" s="1"/>
      <c r="J68" s="1"/>
      <c r="K68" s="5"/>
    </row>
  </sheetData>
  <sortState xmlns:xlrd2="http://schemas.microsoft.com/office/spreadsheetml/2017/richdata2" ref="A2:Z10">
    <sortCondition ref="B2:B1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0B936-980F-4B49-B9A0-44E355860997}">
  <dimension ref="A1:Z65"/>
  <sheetViews>
    <sheetView workbookViewId="0">
      <selection activeCell="V10" sqref="V10"/>
    </sheetView>
  </sheetViews>
  <sheetFormatPr defaultColWidth="6.42578125" defaultRowHeight="15"/>
  <cols>
    <col min="1" max="1" width="11.5703125" bestFit="1" customWidth="1"/>
    <col min="2" max="2" width="7.140625" bestFit="1" customWidth="1"/>
    <col min="3" max="3" width="7.7109375" bestFit="1" customWidth="1"/>
    <col min="4" max="4" width="7.28515625" bestFit="1" customWidth="1"/>
    <col min="5" max="5" width="14.28515625" bestFit="1" customWidth="1"/>
    <col min="6" max="6" width="8.7109375" bestFit="1" customWidth="1"/>
    <col min="7" max="7" width="10.42578125" bestFit="1" customWidth="1"/>
    <col min="8" max="9" width="7" bestFit="1" customWidth="1"/>
    <col min="10" max="10" width="6.5703125" bestFit="1" customWidth="1"/>
    <col min="11" max="11" width="7.5703125" style="6" bestFit="1" customWidth="1"/>
    <col min="12" max="12" width="7.28515625" bestFit="1" customWidth="1"/>
    <col min="14" max="14" width="6.140625" style="4" bestFit="1" customWidth="1"/>
    <col min="25" max="25" width="7.5703125" bestFit="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30</v>
      </c>
      <c r="B2" s="1" t="s">
        <v>35</v>
      </c>
      <c r="D2" s="1">
        <v>20.699000000000002</v>
      </c>
      <c r="E2" s="1">
        <v>1</v>
      </c>
      <c r="F2" s="1">
        <v>15.23</v>
      </c>
      <c r="G2" s="1">
        <v>13</v>
      </c>
      <c r="H2" s="1">
        <v>0.80800000000000005</v>
      </c>
      <c r="I2" s="1">
        <v>13</v>
      </c>
      <c r="J2" s="5">
        <v>5.0630000000000001E-2</v>
      </c>
      <c r="K2" s="5">
        <v>252</v>
      </c>
      <c r="M2" s="2">
        <v>25.617574257425744</v>
      </c>
      <c r="N2" s="3">
        <v>2.1803929472064847E-4</v>
      </c>
      <c r="O2" s="2">
        <v>18.849009900990097</v>
      </c>
      <c r="P2">
        <v>2.5541547556357613E-6</v>
      </c>
      <c r="Q2">
        <v>15.958917637764172</v>
      </c>
      <c r="R2">
        <v>2.5707560188597735E-26</v>
      </c>
      <c r="S2">
        <v>1.2500000000000001E-2</v>
      </c>
      <c r="T2">
        <v>4</v>
      </c>
      <c r="U2" t="s">
        <v>26</v>
      </c>
      <c r="V2">
        <v>6.2660891089108901</v>
      </c>
      <c r="X2">
        <v>10</v>
      </c>
      <c r="Y2" s="6">
        <v>7.5737000000000013E-2</v>
      </c>
      <c r="Z2">
        <v>11.419546817321041</v>
      </c>
    </row>
    <row r="3" spans="1:26">
      <c r="A3" t="s">
        <v>30</v>
      </c>
      <c r="B3" s="1" t="s">
        <v>32</v>
      </c>
      <c r="C3" s="1"/>
      <c r="D3" s="1">
        <v>8.4000000000000005E-2</v>
      </c>
      <c r="E3" s="1">
        <v>1</v>
      </c>
      <c r="F3" s="1">
        <v>6.4669999999999996</v>
      </c>
      <c r="G3" s="1">
        <v>14</v>
      </c>
      <c r="H3" s="1">
        <v>0.69340000000000002</v>
      </c>
      <c r="I3" s="1">
        <v>14</v>
      </c>
      <c r="J3" s="1">
        <v>2.69E-2</v>
      </c>
      <c r="K3" s="5">
        <v>270</v>
      </c>
      <c r="M3" s="2">
        <v>0.12114219786558986</v>
      </c>
      <c r="N3" s="3">
        <v>0.73297689420966683</v>
      </c>
      <c r="O3" s="2">
        <v>9.3265070666282082</v>
      </c>
      <c r="P3" s="2">
        <v>8.0729732427260029E-5</v>
      </c>
      <c r="Q3" s="2">
        <v>25.776951672862452</v>
      </c>
      <c r="R3">
        <v>6.1900065910194032E-42</v>
      </c>
      <c r="S3">
        <v>5.5555555555555558E-3</v>
      </c>
      <c r="T3">
        <v>9</v>
      </c>
      <c r="U3" t="s">
        <v>26</v>
      </c>
      <c r="V3">
        <v>3.8794346697432935</v>
      </c>
      <c r="X3">
        <v>10</v>
      </c>
      <c r="Y3" s="6">
        <v>6.6650000000000001E-2</v>
      </c>
      <c r="Z3">
        <v>12.933818993363825</v>
      </c>
    </row>
    <row r="4" spans="1:26">
      <c r="A4" t="s">
        <v>30</v>
      </c>
      <c r="B4" s="1" t="s">
        <v>37</v>
      </c>
      <c r="D4" s="1">
        <v>39.71</v>
      </c>
      <c r="E4" s="1">
        <v>1</v>
      </c>
      <c r="F4" s="1">
        <v>5.6059999999999999</v>
      </c>
      <c r="G4" s="1">
        <v>32</v>
      </c>
      <c r="H4" s="1">
        <v>0.55000000000000004</v>
      </c>
      <c r="I4" s="1">
        <v>32</v>
      </c>
      <c r="J4" s="5">
        <v>4.539E-2</v>
      </c>
      <c r="K4" s="5">
        <v>594</v>
      </c>
      <c r="M4" s="2">
        <v>72.199999999999989</v>
      </c>
      <c r="N4" s="4">
        <v>1.0390965278206383E-9</v>
      </c>
      <c r="O4" s="2">
        <v>10.192727272727272</v>
      </c>
      <c r="P4">
        <v>1.3308246382936473E-9</v>
      </c>
      <c r="Q4">
        <v>12.117206433135053</v>
      </c>
      <c r="R4">
        <v>2.0916031105702862E-46</v>
      </c>
      <c r="S4">
        <v>0.05</v>
      </c>
      <c r="T4">
        <v>1</v>
      </c>
      <c r="U4" t="s">
        <v>26</v>
      </c>
      <c r="V4">
        <v>8.252727272727272</v>
      </c>
      <c r="X4">
        <v>10</v>
      </c>
      <c r="Y4" s="6">
        <v>5.0460999999999999E-2</v>
      </c>
      <c r="Z4">
        <v>26.926319056930545</v>
      </c>
    </row>
    <row r="5" spans="1:26">
      <c r="A5" t="s">
        <v>30</v>
      </c>
      <c r="B5" s="1" t="s">
        <v>39</v>
      </c>
      <c r="C5" s="1"/>
      <c r="D5" s="1">
        <v>35.369999999999997</v>
      </c>
      <c r="E5" s="1">
        <v>1</v>
      </c>
      <c r="F5" s="1">
        <v>10.77</v>
      </c>
      <c r="G5" s="1">
        <v>34</v>
      </c>
      <c r="H5" s="1">
        <v>0.78</v>
      </c>
      <c r="I5" s="1">
        <v>34</v>
      </c>
      <c r="J5" s="1">
        <v>7.0690000000000003E-2</v>
      </c>
      <c r="K5" s="5">
        <v>630</v>
      </c>
      <c r="M5" s="2">
        <v>45.34615384615384</v>
      </c>
      <c r="N5" s="3">
        <v>9.7512914538179483E-8</v>
      </c>
      <c r="O5" s="2">
        <v>13.807692307692307</v>
      </c>
      <c r="P5" s="2">
        <v>5.1466602935333968E-12</v>
      </c>
      <c r="Q5" s="2">
        <v>11.03409251662187</v>
      </c>
      <c r="R5">
        <v>1.3031863730100087E-44</v>
      </c>
      <c r="S5">
        <v>8.3333333333333332E-3</v>
      </c>
      <c r="T5">
        <v>6</v>
      </c>
      <c r="U5" t="s">
        <v>26</v>
      </c>
      <c r="V5">
        <v>9.0628205128205117</v>
      </c>
      <c r="X5">
        <v>10</v>
      </c>
      <c r="Y5" s="6">
        <v>7.0930999999999994E-2</v>
      </c>
      <c r="Z5">
        <v>28.104082480042116</v>
      </c>
    </row>
    <row r="6" spans="1:26">
      <c r="A6" t="s">
        <v>30</v>
      </c>
      <c r="B6" s="1" t="s">
        <v>34</v>
      </c>
      <c r="D6" s="1">
        <v>8.3420000000000005</v>
      </c>
      <c r="E6" s="1">
        <v>1</v>
      </c>
      <c r="F6" s="1">
        <v>11.54</v>
      </c>
      <c r="G6" s="1">
        <v>32</v>
      </c>
      <c r="H6" s="1">
        <v>0.84799999999999998</v>
      </c>
      <c r="I6" s="1">
        <v>32</v>
      </c>
      <c r="J6" s="5">
        <v>4.9790000000000001E-2</v>
      </c>
      <c r="K6" s="5">
        <v>594</v>
      </c>
      <c r="M6" s="2">
        <v>9.8372641509433976</v>
      </c>
      <c r="N6" s="4">
        <v>3.6551033152942363E-3</v>
      </c>
      <c r="O6" s="2">
        <v>13.608490566037736</v>
      </c>
      <c r="P6">
        <v>2.577258076637501E-11</v>
      </c>
      <c r="Q6">
        <v>17.031532436232176</v>
      </c>
      <c r="R6">
        <v>2.488282297973616E-64</v>
      </c>
      <c r="S6">
        <v>2.5000000000000001E-2</v>
      </c>
      <c r="T6">
        <v>2</v>
      </c>
      <c r="U6" t="s">
        <v>26</v>
      </c>
      <c r="V6">
        <v>5.871462264150944</v>
      </c>
      <c r="X6">
        <v>10</v>
      </c>
      <c r="Y6" s="6">
        <v>7.9821000000000003E-2</v>
      </c>
      <c r="Z6">
        <v>28.347316539938127</v>
      </c>
    </row>
    <row r="7" spans="1:26">
      <c r="A7" t="s">
        <v>30</v>
      </c>
      <c r="B7" s="1" t="s">
        <v>31</v>
      </c>
      <c r="C7" s="1"/>
      <c r="D7" s="1">
        <v>28.78</v>
      </c>
      <c r="E7" s="1">
        <v>1</v>
      </c>
      <c r="F7" s="1">
        <v>3.827</v>
      </c>
      <c r="G7" s="1">
        <v>28</v>
      </c>
      <c r="H7" s="1">
        <v>1.0269999999999999</v>
      </c>
      <c r="I7" s="1">
        <v>28</v>
      </c>
      <c r="J7" s="1">
        <v>3.2460000000000003E-2</v>
      </c>
      <c r="K7" s="5">
        <v>522</v>
      </c>
      <c r="M7" s="2">
        <v>28.023369036027269</v>
      </c>
      <c r="N7" s="3">
        <v>1.2429901585843262E-5</v>
      </c>
      <c r="O7" s="2">
        <v>3.7263875365141192</v>
      </c>
      <c r="P7" s="2">
        <v>4.2360872968979433E-4</v>
      </c>
      <c r="Q7" s="2">
        <v>31.638940234134314</v>
      </c>
      <c r="R7">
        <v>5.0566121212105195E-94</v>
      </c>
      <c r="S7">
        <v>6.2500000000000003E-3</v>
      </c>
      <c r="T7">
        <v>8</v>
      </c>
      <c r="U7" t="s">
        <v>26</v>
      </c>
      <c r="V7">
        <v>3.1606621226874396</v>
      </c>
      <c r="X7">
        <v>10</v>
      </c>
      <c r="Y7" s="6">
        <v>9.9453999999999987E-2</v>
      </c>
      <c r="Z7">
        <v>26.25659364845902</v>
      </c>
    </row>
    <row r="8" spans="1:26">
      <c r="B8" s="1"/>
      <c r="D8" s="1"/>
      <c r="E8" s="1"/>
      <c r="F8" s="1"/>
      <c r="G8" s="1"/>
      <c r="H8" s="1"/>
      <c r="I8" s="1"/>
      <c r="J8" s="5"/>
      <c r="K8" s="5"/>
      <c r="O8" s="2"/>
    </row>
    <row r="9" spans="1:26">
      <c r="B9" s="1"/>
      <c r="C9" s="1"/>
      <c r="D9" s="1"/>
      <c r="E9" s="1"/>
      <c r="F9" s="1"/>
      <c r="G9" s="1"/>
      <c r="H9" s="1"/>
      <c r="I9" s="1"/>
      <c r="J9" s="1"/>
      <c r="K9" s="5"/>
      <c r="O9" s="2"/>
    </row>
    <row r="10" spans="1:26">
      <c r="B10" s="1"/>
      <c r="C10" s="1"/>
      <c r="D10" s="1"/>
      <c r="E10" s="1"/>
      <c r="F10" s="1"/>
      <c r="G10" s="1"/>
      <c r="H10" s="1"/>
      <c r="I10" s="1"/>
      <c r="J10" s="1"/>
      <c r="K10" s="5"/>
      <c r="O10" s="2"/>
    </row>
    <row r="11" spans="1:26">
      <c r="B11" s="1"/>
      <c r="C11" s="1"/>
      <c r="D11" s="1"/>
      <c r="E11" s="1"/>
      <c r="F11" s="1"/>
      <c r="G11" s="1"/>
      <c r="H11" s="1"/>
      <c r="I11" s="1"/>
      <c r="J11" s="1"/>
      <c r="K11" s="5"/>
      <c r="O11" s="2"/>
    </row>
    <row r="12" spans="1:26">
      <c r="B12" s="1"/>
      <c r="C12" s="1"/>
      <c r="D12" s="1"/>
      <c r="E12" s="1"/>
      <c r="F12" s="1"/>
      <c r="G12" s="1"/>
      <c r="H12" s="1"/>
      <c r="I12" s="1"/>
      <c r="J12" s="1"/>
      <c r="K12" s="5"/>
      <c r="O12" s="2"/>
    </row>
    <row r="13" spans="1:26">
      <c r="B13" s="1"/>
      <c r="C13" s="1"/>
      <c r="D13" s="1"/>
      <c r="E13" s="1"/>
      <c r="F13" s="1"/>
      <c r="G13" s="1"/>
      <c r="H13" s="1"/>
      <c r="I13" s="1"/>
      <c r="J13" s="1"/>
      <c r="K13" s="5"/>
      <c r="O13" s="2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5"/>
      <c r="O14" s="2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5"/>
      <c r="O15" s="2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5"/>
      <c r="O16" s="2"/>
    </row>
    <row r="17" spans="1:15">
      <c r="A17" s="1"/>
      <c r="B17" s="1"/>
      <c r="C17" s="1"/>
      <c r="D17" s="1"/>
      <c r="E17" s="1"/>
      <c r="F17" s="1"/>
      <c r="G17" s="1"/>
      <c r="H17" s="1"/>
      <c r="I17" s="1"/>
      <c r="J17" s="1"/>
      <c r="K17" s="5"/>
      <c r="M17" s="2"/>
      <c r="O17" s="2"/>
    </row>
    <row r="18" spans="1:15">
      <c r="A18" s="1"/>
      <c r="B18" s="1"/>
      <c r="C18" s="1"/>
      <c r="D18" s="1"/>
      <c r="E18" s="1"/>
      <c r="F18" s="1"/>
      <c r="G18" s="1"/>
      <c r="H18" s="1"/>
      <c r="I18" s="1"/>
      <c r="J18" s="1"/>
      <c r="K18" s="5"/>
      <c r="M18" s="2"/>
      <c r="O18" s="2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5"/>
      <c r="M19" s="2"/>
      <c r="O19" s="2"/>
    </row>
    <row r="20" spans="1:15">
      <c r="B20" s="1"/>
      <c r="C20" s="1"/>
      <c r="D20" s="1"/>
      <c r="E20" s="1"/>
      <c r="F20" s="1"/>
      <c r="G20" s="1"/>
      <c r="H20" s="1"/>
      <c r="I20" s="1"/>
      <c r="J20" s="1"/>
      <c r="K20" s="5"/>
      <c r="M20" s="2"/>
      <c r="O20" s="2"/>
    </row>
    <row r="21" spans="1:15">
      <c r="B21" s="1"/>
      <c r="C21" s="1"/>
      <c r="D21" s="1"/>
      <c r="E21" s="1"/>
      <c r="F21" s="1"/>
      <c r="G21" s="1"/>
      <c r="H21" s="1"/>
      <c r="I21" s="1"/>
      <c r="J21" s="1"/>
      <c r="K21" s="5"/>
      <c r="M21" s="2"/>
      <c r="O21" s="2"/>
    </row>
    <row r="22" spans="1:15">
      <c r="B22" s="1"/>
      <c r="C22" s="1"/>
      <c r="D22" s="1"/>
      <c r="E22" s="1"/>
      <c r="F22" s="1"/>
      <c r="G22" s="1"/>
      <c r="H22" s="1"/>
      <c r="I22" s="1"/>
      <c r="J22" s="1"/>
      <c r="K22" s="5"/>
      <c r="L22" s="2"/>
      <c r="M22" s="2"/>
      <c r="O22" s="2"/>
    </row>
    <row r="23" spans="1:15">
      <c r="B23" s="1"/>
      <c r="C23" s="1"/>
      <c r="D23" s="1"/>
      <c r="E23" s="1"/>
      <c r="F23" s="1"/>
      <c r="G23" s="1"/>
      <c r="H23" s="1"/>
      <c r="I23" s="1"/>
      <c r="J23" s="1"/>
      <c r="K23" s="5"/>
      <c r="L23" s="2"/>
      <c r="O23" s="2"/>
    </row>
    <row r="24" spans="1:15">
      <c r="B24" s="1"/>
      <c r="C24" s="1"/>
      <c r="D24" s="1"/>
      <c r="E24" s="1"/>
      <c r="F24" s="1"/>
      <c r="G24" s="1"/>
      <c r="H24" s="1"/>
      <c r="I24" s="1"/>
      <c r="J24" s="1"/>
      <c r="K24" s="5"/>
      <c r="L24" s="2"/>
    </row>
    <row r="25" spans="1:15">
      <c r="B25" s="1"/>
      <c r="C25" s="1"/>
      <c r="D25" s="1"/>
      <c r="E25" s="1"/>
      <c r="F25" s="1"/>
      <c r="G25" s="1"/>
      <c r="H25" s="1"/>
      <c r="I25" s="1"/>
      <c r="J25" s="1"/>
      <c r="K25" s="5"/>
      <c r="L25" s="2"/>
    </row>
    <row r="26" spans="1:15">
      <c r="B26" s="1"/>
      <c r="C26" s="1"/>
      <c r="D26" s="1"/>
      <c r="E26" s="1"/>
      <c r="F26" s="1"/>
      <c r="G26" s="1"/>
      <c r="H26" s="1"/>
      <c r="I26" s="1"/>
      <c r="J26" s="1"/>
      <c r="K26" s="5"/>
      <c r="L26" s="2"/>
    </row>
    <row r="27" spans="1:15">
      <c r="B27" s="1"/>
      <c r="C27" s="1"/>
      <c r="D27" s="1"/>
      <c r="E27" s="1"/>
      <c r="F27" s="1"/>
      <c r="G27" s="1"/>
      <c r="H27" s="1"/>
      <c r="I27" s="1"/>
      <c r="J27" s="1"/>
      <c r="K27" s="5"/>
      <c r="L27" s="2"/>
    </row>
    <row r="28" spans="1:15">
      <c r="B28" s="1"/>
      <c r="C28" s="1"/>
      <c r="D28" s="1"/>
      <c r="E28" s="1"/>
      <c r="F28" s="1"/>
      <c r="G28" s="1"/>
      <c r="H28" s="1"/>
      <c r="I28" s="1"/>
      <c r="J28" s="1"/>
      <c r="K28" s="5"/>
      <c r="L28" s="2"/>
    </row>
    <row r="29" spans="1:15">
      <c r="B29" s="1"/>
      <c r="C29" s="1"/>
      <c r="D29" s="1"/>
      <c r="E29" s="1"/>
      <c r="F29" s="1"/>
      <c r="G29" s="1"/>
      <c r="H29" s="1"/>
      <c r="I29" s="1"/>
      <c r="J29" s="1"/>
      <c r="K29" s="5"/>
      <c r="L29" s="2"/>
    </row>
    <row r="33" spans="2:12">
      <c r="D33" s="1"/>
      <c r="E33" s="1"/>
      <c r="F33" s="1"/>
      <c r="G33" s="1"/>
      <c r="H33" s="1"/>
      <c r="I33" s="1"/>
      <c r="J33" s="1"/>
      <c r="K33" s="5"/>
    </row>
    <row r="34" spans="2:12">
      <c r="D34" s="1"/>
      <c r="E34" s="1"/>
      <c r="F34" s="1"/>
      <c r="G34" s="1"/>
      <c r="H34" s="1"/>
      <c r="I34" s="1"/>
      <c r="J34" s="1"/>
      <c r="K34" s="5"/>
    </row>
    <row r="35" spans="2:12">
      <c r="B35" s="1"/>
      <c r="C35" s="1"/>
      <c r="D35" s="1"/>
      <c r="E35" s="1"/>
      <c r="F35" s="1"/>
      <c r="G35" s="1"/>
      <c r="H35" s="1"/>
      <c r="I35" s="1"/>
      <c r="J35" s="1"/>
      <c r="K35" s="5"/>
    </row>
    <row r="36" spans="2:12">
      <c r="B36" s="1"/>
      <c r="C36" s="1"/>
      <c r="D36" s="1"/>
      <c r="E36" s="1"/>
      <c r="F36" s="1"/>
      <c r="G36" s="1"/>
      <c r="H36" s="1"/>
      <c r="I36" s="1"/>
      <c r="J36" s="1"/>
      <c r="K36" s="5"/>
    </row>
    <row r="37" spans="2:12">
      <c r="B37" s="1"/>
      <c r="C37" s="1"/>
      <c r="D37" s="1"/>
      <c r="E37" s="1"/>
      <c r="F37" s="1"/>
      <c r="G37" s="1"/>
      <c r="H37" s="1"/>
      <c r="I37" s="1"/>
      <c r="J37" s="1"/>
      <c r="K37" s="5"/>
      <c r="L37" s="2"/>
    </row>
    <row r="38" spans="2:12">
      <c r="B38" s="1"/>
      <c r="C38" s="1"/>
      <c r="D38" s="1"/>
      <c r="E38" s="1"/>
      <c r="F38" s="1"/>
      <c r="G38" s="1"/>
      <c r="H38" s="1"/>
      <c r="I38" s="1"/>
      <c r="J38" s="1"/>
      <c r="K38" s="5"/>
      <c r="L38" s="2"/>
    </row>
    <row r="39" spans="2:12">
      <c r="B39" s="1"/>
      <c r="C39" s="1"/>
      <c r="D39" s="1"/>
      <c r="E39" s="1"/>
      <c r="F39" s="1"/>
      <c r="G39" s="1"/>
      <c r="H39" s="1"/>
      <c r="I39" s="1"/>
      <c r="J39" s="1"/>
      <c r="L39" s="2"/>
    </row>
    <row r="40" spans="2:12">
      <c r="B40" s="1"/>
      <c r="C40" s="1"/>
      <c r="D40" s="1"/>
      <c r="E40" s="1"/>
      <c r="F40" s="1"/>
      <c r="G40" s="1"/>
      <c r="H40" s="1"/>
      <c r="I40" s="1"/>
      <c r="J40" s="1"/>
      <c r="L40" s="2"/>
    </row>
    <row r="41" spans="2:12">
      <c r="B41" s="1"/>
      <c r="C41" s="1"/>
      <c r="D41" s="1"/>
      <c r="E41" s="1"/>
      <c r="F41" s="1"/>
      <c r="G41" s="1"/>
      <c r="H41" s="1"/>
      <c r="I41" s="1"/>
      <c r="J41" s="1"/>
      <c r="L41" s="2"/>
    </row>
    <row r="42" spans="2:12">
      <c r="B42" s="1"/>
      <c r="C42" s="1"/>
      <c r="D42" s="1"/>
      <c r="E42" s="1"/>
      <c r="F42" s="1"/>
      <c r="G42" s="1"/>
      <c r="H42" s="1"/>
      <c r="I42" s="1"/>
      <c r="J42" s="1"/>
      <c r="L42" s="2"/>
    </row>
    <row r="43" spans="2:12">
      <c r="B43" s="1"/>
      <c r="C43" s="1"/>
      <c r="D43" s="1"/>
      <c r="E43" s="1"/>
      <c r="F43" s="1"/>
      <c r="G43" s="1"/>
      <c r="H43" s="1"/>
      <c r="I43" s="1"/>
      <c r="J43" s="1"/>
      <c r="L43" s="2"/>
    </row>
    <row r="44" spans="2:12">
      <c r="B44" s="1"/>
      <c r="C44" s="1"/>
      <c r="D44" s="1"/>
      <c r="E44" s="1"/>
      <c r="F44" s="1"/>
      <c r="G44" s="1"/>
      <c r="H44" s="1"/>
      <c r="I44" s="1"/>
      <c r="J44" s="1"/>
      <c r="L44" s="2"/>
    </row>
    <row r="45" spans="2:12">
      <c r="B45" s="1"/>
      <c r="C45" s="1"/>
      <c r="D45" s="1"/>
      <c r="E45" s="1"/>
      <c r="F45" s="1"/>
      <c r="G45" s="1"/>
      <c r="H45" s="1"/>
      <c r="I45" s="1"/>
      <c r="J45" s="1"/>
    </row>
    <row r="46" spans="2:12">
      <c r="B46" s="1"/>
      <c r="C46" s="1"/>
      <c r="D46" s="1"/>
      <c r="E46" s="1"/>
      <c r="F46" s="1"/>
      <c r="G46" s="1"/>
      <c r="H46" s="1"/>
      <c r="I46" s="1"/>
      <c r="J46" s="1"/>
    </row>
    <row r="47" spans="2:12">
      <c r="B47" s="1"/>
      <c r="C47" s="1"/>
      <c r="D47" s="1"/>
      <c r="E47" s="1"/>
      <c r="F47" s="1"/>
      <c r="G47" s="1"/>
      <c r="H47" s="1"/>
      <c r="I47" s="1"/>
      <c r="J47" s="1"/>
      <c r="K47" s="5"/>
    </row>
    <row r="48" spans="2:12">
      <c r="B48" s="1"/>
      <c r="C48" s="1"/>
      <c r="D48" s="1"/>
      <c r="E48" s="1"/>
      <c r="F48" s="1"/>
      <c r="G48" s="1"/>
      <c r="H48" s="1"/>
      <c r="I48" s="1"/>
      <c r="J48" s="1"/>
      <c r="K48" s="5"/>
    </row>
    <row r="49" spans="2:11">
      <c r="B49" s="1"/>
      <c r="C49" s="1"/>
      <c r="D49" s="1"/>
      <c r="E49" s="1"/>
      <c r="F49" s="1"/>
      <c r="G49" s="1"/>
      <c r="H49" s="1"/>
      <c r="I49" s="1"/>
      <c r="J49" s="1"/>
      <c r="K49" s="5"/>
    </row>
    <row r="50" spans="2:11">
      <c r="B50" s="1"/>
      <c r="C50" s="1"/>
      <c r="D50" s="1"/>
      <c r="E50" s="1"/>
      <c r="F50" s="1"/>
      <c r="G50" s="1"/>
      <c r="H50" s="1"/>
      <c r="I50" s="1"/>
      <c r="J50" s="1"/>
      <c r="K50" s="5"/>
    </row>
    <row r="51" spans="2:11">
      <c r="B51" s="1"/>
      <c r="C51" s="1"/>
      <c r="D51" s="1"/>
      <c r="E51" s="1"/>
      <c r="F51" s="1"/>
      <c r="G51" s="1"/>
      <c r="H51" s="1"/>
      <c r="I51" s="1"/>
      <c r="J51" s="1"/>
      <c r="K51" s="5"/>
    </row>
    <row r="52" spans="2:11">
      <c r="B52" s="1"/>
      <c r="C52" s="1"/>
      <c r="D52" s="1"/>
      <c r="E52" s="1"/>
      <c r="F52" s="1"/>
      <c r="G52" s="1"/>
      <c r="H52" s="1"/>
      <c r="I52" s="1"/>
      <c r="J52" s="1"/>
      <c r="K52" s="5"/>
    </row>
    <row r="53" spans="2:11">
      <c r="B53" s="1"/>
      <c r="C53" s="1"/>
      <c r="D53" s="1"/>
      <c r="E53" s="1"/>
      <c r="F53" s="1"/>
      <c r="G53" s="1"/>
      <c r="H53" s="1"/>
      <c r="I53" s="1"/>
      <c r="J53" s="1"/>
      <c r="K53" s="5"/>
    </row>
    <row r="54" spans="2:11">
      <c r="B54" s="1"/>
      <c r="C54" s="1"/>
      <c r="D54" s="1"/>
      <c r="E54" s="1"/>
      <c r="F54" s="1"/>
      <c r="G54" s="1"/>
      <c r="H54" s="1"/>
      <c r="I54" s="1"/>
      <c r="J54" s="1"/>
      <c r="K54" s="5"/>
    </row>
    <row r="59" spans="2:11">
      <c r="B59" s="1"/>
      <c r="C59" s="1"/>
      <c r="D59" s="1"/>
      <c r="E59" s="1"/>
      <c r="F59" s="1"/>
      <c r="G59" s="1"/>
      <c r="H59" s="1"/>
      <c r="I59" s="1"/>
      <c r="J59" s="1"/>
      <c r="K59" s="5"/>
    </row>
    <row r="60" spans="2:11">
      <c r="B60" s="1"/>
      <c r="C60" s="1"/>
      <c r="D60" s="1"/>
      <c r="E60" s="1"/>
      <c r="F60" s="1"/>
      <c r="G60" s="1"/>
      <c r="H60" s="1"/>
      <c r="I60" s="1"/>
      <c r="J60" s="1"/>
      <c r="K60" s="5"/>
    </row>
    <row r="61" spans="2:11">
      <c r="B61" s="1"/>
      <c r="C61" s="1"/>
      <c r="D61" s="1"/>
      <c r="E61" s="1"/>
      <c r="F61" s="1"/>
      <c r="G61" s="1"/>
      <c r="H61" s="1"/>
      <c r="I61" s="1"/>
      <c r="J61" s="1"/>
      <c r="K61" s="5"/>
    </row>
    <row r="62" spans="2:11">
      <c r="B62" s="1"/>
      <c r="C62" s="1"/>
      <c r="D62" s="1"/>
      <c r="E62" s="1"/>
      <c r="F62" s="1"/>
      <c r="G62" s="1"/>
      <c r="H62" s="1"/>
      <c r="I62" s="1"/>
      <c r="J62" s="1"/>
      <c r="K62" s="5"/>
    </row>
    <row r="63" spans="2:11">
      <c r="B63" s="1"/>
      <c r="C63" s="1"/>
      <c r="D63" s="1"/>
      <c r="E63" s="1"/>
      <c r="F63" s="1"/>
      <c r="G63" s="1"/>
      <c r="H63" s="1"/>
      <c r="I63" s="1"/>
      <c r="J63" s="1"/>
      <c r="K63" s="5"/>
    </row>
    <row r="64" spans="2:11">
      <c r="B64" s="1"/>
      <c r="C64" s="1"/>
      <c r="D64" s="1"/>
      <c r="E64" s="1"/>
      <c r="F64" s="1"/>
      <c r="G64" s="1"/>
      <c r="H64" s="1"/>
      <c r="I64" s="1"/>
      <c r="J64" s="1"/>
      <c r="K64" s="5"/>
    </row>
    <row r="65" spans="2:11">
      <c r="B65" s="1"/>
      <c r="C65" s="1"/>
      <c r="D65" s="1"/>
      <c r="E65" s="1"/>
      <c r="F65" s="1"/>
      <c r="G65" s="1"/>
      <c r="H65" s="1"/>
      <c r="I65" s="1"/>
      <c r="J65" s="1"/>
      <c r="K65" s="5"/>
    </row>
  </sheetData>
  <sortState xmlns:xlrd2="http://schemas.microsoft.com/office/spreadsheetml/2017/richdata2" ref="A17:A19">
    <sortCondition ref="A16:A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female-breadths</vt:lpstr>
      <vt:lpstr>female-lengths</vt:lpstr>
      <vt:lpstr>male-breadths</vt:lpstr>
      <vt:lpstr>male-lengths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 HOOVER</dc:creator>
  <cp:lastModifiedBy>Kara Hoover</cp:lastModifiedBy>
  <dcterms:created xsi:type="dcterms:W3CDTF">2019-11-20T15:33:11Z</dcterms:created>
  <dcterms:modified xsi:type="dcterms:W3CDTF">2026-03-16T14:15:55Z</dcterms:modified>
</cp:coreProperties>
</file>