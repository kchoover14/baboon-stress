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KARAH\Desktop\baboon-stress\data-paper\"/>
    </mc:Choice>
  </mc:AlternateContent>
  <xr:revisionPtr revIDLastSave="0" documentId="13_ncr:1_{C81ADFB6-2A48-43B9-8AEF-F882A959C582}" xr6:coauthVersionLast="47" xr6:coauthVersionMax="47" xr10:uidLastSave="{00000000-0000-0000-0000-000000000000}"/>
  <bookViews>
    <workbookView xWindow="4815" yWindow="2190" windowWidth="18855" windowHeight="13065" activeTab="2" xr2:uid="{00000000-000D-0000-FFFF-FFFF00000000}"/>
  </bookViews>
  <sheets>
    <sheet name="female-breadths" sheetId="1" r:id="rId1"/>
    <sheet name="female-lengths" sheetId="2" r:id="rId2"/>
    <sheet name="male-breadths" sheetId="3" r:id="rId3"/>
    <sheet name="male-lengths" sheetId="4" r:id="rId4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4" i="3" l="1"/>
  <c r="AC17" i="3"/>
  <c r="AC18" i="3"/>
  <c r="AC16" i="3"/>
  <c r="AC11" i="3"/>
  <c r="AC10" i="3"/>
  <c r="AC15" i="3"/>
  <c r="AC13" i="3"/>
  <c r="AC12" i="3"/>
  <c r="AL16" i="4"/>
  <c r="AM16" i="4" s="1"/>
  <c r="AR16" i="4"/>
  <c r="AS16" i="4"/>
  <c r="AU16" i="4" s="1"/>
  <c r="BC16" i="4"/>
  <c r="BD16" i="4"/>
  <c r="BF16" i="4" s="1"/>
  <c r="AL14" i="4"/>
  <c r="AM14" i="4" s="1"/>
  <c r="AR14" i="4"/>
  <c r="AS14" i="4"/>
  <c r="AU14" i="4" s="1"/>
  <c r="BC14" i="4"/>
  <c r="BD14" i="4"/>
  <c r="BF14" i="4" s="1"/>
  <c r="AL15" i="4"/>
  <c r="AM15" i="4" s="1"/>
  <c r="AR15" i="4"/>
  <c r="AS15" i="4"/>
  <c r="AU15" i="4" s="1"/>
  <c r="BC15" i="4"/>
  <c r="BD15" i="4"/>
  <c r="BF15" i="4" s="1"/>
  <c r="AL10" i="4"/>
  <c r="AM10" i="4" s="1"/>
  <c r="AR10" i="4"/>
  <c r="AS10" i="4"/>
  <c r="AU10" i="4" s="1"/>
  <c r="BC10" i="4"/>
  <c r="BD10" i="4"/>
  <c r="BF10" i="4" s="1"/>
  <c r="AL18" i="4"/>
  <c r="AM18" i="4" s="1"/>
  <c r="AR18" i="4"/>
  <c r="AS18" i="4"/>
  <c r="AU18" i="4" s="1"/>
  <c r="BC18" i="4"/>
  <c r="BD18" i="4"/>
  <c r="BF18" i="4" s="1"/>
  <c r="AL13" i="4"/>
  <c r="AM13" i="4" s="1"/>
  <c r="AR13" i="4"/>
  <c r="AS13" i="4"/>
  <c r="AU13" i="4" s="1"/>
  <c r="BC13" i="4"/>
  <c r="BD13" i="4"/>
  <c r="BF13" i="4" s="1"/>
  <c r="AL17" i="4"/>
  <c r="AM17" i="4" s="1"/>
  <c r="AR17" i="4"/>
  <c r="AS17" i="4"/>
  <c r="AU17" i="4" s="1"/>
  <c r="BC17" i="4"/>
  <c r="BD17" i="4"/>
  <c r="BF17" i="4" s="1"/>
  <c r="AL12" i="4"/>
  <c r="AM12" i="4" s="1"/>
  <c r="AR12" i="4"/>
  <c r="AS12" i="4"/>
  <c r="AU12" i="4" s="1"/>
  <c r="BC12" i="4"/>
  <c r="BD12" i="4"/>
  <c r="BF12" i="4" s="1"/>
  <c r="AL11" i="4"/>
  <c r="AM11" i="4" s="1"/>
  <c r="AR11" i="4"/>
  <c r="AS11" i="4"/>
  <c r="AU11" i="4" s="1"/>
  <c r="BC11" i="4"/>
  <c r="BD11" i="4"/>
  <c r="BF11" i="4" s="1"/>
  <c r="AL14" i="3"/>
  <c r="AM14" i="3" s="1"/>
  <c r="AR14" i="3"/>
  <c r="AS14" i="3"/>
  <c r="AU14" i="3" s="1"/>
  <c r="BC14" i="3"/>
  <c r="BD14" i="3"/>
  <c r="BF14" i="3" s="1"/>
  <c r="AL17" i="3"/>
  <c r="AM17" i="3" s="1"/>
  <c r="AR17" i="3"/>
  <c r="AS17" i="3"/>
  <c r="AU17" i="3" s="1"/>
  <c r="BC17" i="3"/>
  <c r="BD17" i="3"/>
  <c r="BF17" i="3" s="1"/>
  <c r="AL18" i="3"/>
  <c r="AM18" i="3" s="1"/>
  <c r="AR18" i="3"/>
  <c r="AS18" i="3"/>
  <c r="AU18" i="3" s="1"/>
  <c r="BC18" i="3"/>
  <c r="BD18" i="3"/>
  <c r="BF18" i="3"/>
  <c r="AL16" i="3"/>
  <c r="AM16" i="3" s="1"/>
  <c r="AR16" i="3"/>
  <c r="AS16" i="3"/>
  <c r="AU16" i="3" s="1"/>
  <c r="BC16" i="3"/>
  <c r="BD16" i="3"/>
  <c r="BF16" i="3" s="1"/>
  <c r="AL11" i="3"/>
  <c r="AM11" i="3" s="1"/>
  <c r="AR11" i="3"/>
  <c r="AS11" i="3"/>
  <c r="AU11" i="3" s="1"/>
  <c r="BC11" i="3"/>
  <c r="BD11" i="3"/>
  <c r="BF11" i="3" s="1"/>
  <c r="AL10" i="3"/>
  <c r="AM10" i="3" s="1"/>
  <c r="AR10" i="3"/>
  <c r="AS10" i="3"/>
  <c r="AU10" i="3" s="1"/>
  <c r="BC10" i="3"/>
  <c r="BD10" i="3"/>
  <c r="BF10" i="3" s="1"/>
  <c r="AL15" i="3"/>
  <c r="AM15" i="3" s="1"/>
  <c r="AR15" i="3"/>
  <c r="AS15" i="3"/>
  <c r="AU15" i="3" s="1"/>
  <c r="BC15" i="3"/>
  <c r="BD15" i="3"/>
  <c r="BF15" i="3" s="1"/>
  <c r="AL13" i="3"/>
  <c r="AM13" i="3" s="1"/>
  <c r="AR13" i="3"/>
  <c r="AS13" i="3"/>
  <c r="AU13" i="3" s="1"/>
  <c r="BC13" i="3"/>
  <c r="BD13" i="3"/>
  <c r="BF13" i="3" s="1"/>
  <c r="AL12" i="3"/>
  <c r="AM12" i="3" s="1"/>
  <c r="AR12" i="3"/>
  <c r="AS12" i="3"/>
  <c r="AU12" i="3" s="1"/>
  <c r="BC12" i="3"/>
  <c r="BD12" i="3"/>
  <c r="BF12" i="3" s="1"/>
  <c r="M14" i="3"/>
  <c r="N14" i="3" s="1"/>
  <c r="O14" i="3"/>
  <c r="P14" i="3" s="1"/>
  <c r="Q14" i="3"/>
  <c r="R14" i="3" s="1"/>
  <c r="V14" i="3"/>
  <c r="X14" i="3"/>
  <c r="Y14" i="3" s="1"/>
  <c r="Z14" i="3"/>
  <c r="AB14" i="3"/>
  <c r="M17" i="3"/>
  <c r="N17" i="3" s="1"/>
  <c r="O17" i="3"/>
  <c r="P17" i="3" s="1"/>
  <c r="Q17" i="3"/>
  <c r="R17" i="3" s="1"/>
  <c r="V17" i="3"/>
  <c r="X17" i="3"/>
  <c r="Y17" i="3" s="1"/>
  <c r="Z17" i="3"/>
  <c r="AB17" i="3"/>
  <c r="M18" i="3"/>
  <c r="N18" i="3" s="1"/>
  <c r="O18" i="3"/>
  <c r="P18" i="3" s="1"/>
  <c r="Q18" i="3"/>
  <c r="R18" i="3" s="1"/>
  <c r="V18" i="3"/>
  <c r="X18" i="3"/>
  <c r="Y18" i="3" s="1"/>
  <c r="Z18" i="3"/>
  <c r="AB18" i="3"/>
  <c r="M16" i="3"/>
  <c r="N16" i="3" s="1"/>
  <c r="O16" i="3"/>
  <c r="P16" i="3" s="1"/>
  <c r="Q16" i="3"/>
  <c r="R16" i="3" s="1"/>
  <c r="V16" i="3"/>
  <c r="X16" i="3"/>
  <c r="Y16" i="3" s="1"/>
  <c r="Z16" i="3"/>
  <c r="AB16" i="3"/>
  <c r="M11" i="3"/>
  <c r="N11" i="3" s="1"/>
  <c r="O11" i="3"/>
  <c r="P11" i="3" s="1"/>
  <c r="Q11" i="3"/>
  <c r="R11" i="3" s="1"/>
  <c r="V11" i="3"/>
  <c r="X11" i="3"/>
  <c r="Y11" i="3" s="1"/>
  <c r="Z11" i="3"/>
  <c r="AB11" i="3"/>
  <c r="M10" i="3"/>
  <c r="N10" i="3" s="1"/>
  <c r="O10" i="3"/>
  <c r="P10" i="3" s="1"/>
  <c r="Q10" i="3"/>
  <c r="R10" i="3" s="1"/>
  <c r="V10" i="3"/>
  <c r="X10" i="3"/>
  <c r="Y10" i="3" s="1"/>
  <c r="Z10" i="3"/>
  <c r="AB10" i="3"/>
  <c r="M15" i="3"/>
  <c r="N15" i="3" s="1"/>
  <c r="O15" i="3"/>
  <c r="P15" i="3" s="1"/>
  <c r="Q15" i="3"/>
  <c r="R15" i="3" s="1"/>
  <c r="V15" i="3"/>
  <c r="X15" i="3"/>
  <c r="Y15" i="3" s="1"/>
  <c r="Z15" i="3"/>
  <c r="AB15" i="3"/>
  <c r="M13" i="3"/>
  <c r="N13" i="3" s="1"/>
  <c r="O13" i="3"/>
  <c r="P13" i="3" s="1"/>
  <c r="Q13" i="3"/>
  <c r="R13" i="3" s="1"/>
  <c r="V13" i="3"/>
  <c r="X13" i="3"/>
  <c r="Y13" i="3" s="1"/>
  <c r="Z13" i="3"/>
  <c r="AB13" i="3"/>
  <c r="M12" i="3"/>
  <c r="N12" i="3" s="1"/>
  <c r="O12" i="3"/>
  <c r="P12" i="3" s="1"/>
  <c r="Q12" i="3"/>
  <c r="R12" i="3" s="1"/>
  <c r="V12" i="3"/>
  <c r="X12" i="3"/>
  <c r="Y12" i="3" s="1"/>
  <c r="Z12" i="3"/>
  <c r="AB12" i="3"/>
  <c r="AL13" i="2"/>
  <c r="AM13" i="2" s="1"/>
  <c r="AR13" i="2"/>
  <c r="AS13" i="2"/>
  <c r="AU13" i="2" s="1"/>
  <c r="BC13" i="2"/>
  <c r="BD13" i="2"/>
  <c r="BF13" i="2" s="1"/>
  <c r="AL17" i="2"/>
  <c r="AM17" i="2" s="1"/>
  <c r="AR17" i="2"/>
  <c r="AS17" i="2"/>
  <c r="AU17" i="2" s="1"/>
  <c r="BC17" i="2"/>
  <c r="BD17" i="2"/>
  <c r="BF17" i="2" s="1"/>
  <c r="AL11" i="2"/>
  <c r="AM11" i="2" s="1"/>
  <c r="AR11" i="2"/>
  <c r="AS11" i="2"/>
  <c r="AU11" i="2" s="1"/>
  <c r="BC11" i="2"/>
  <c r="BD11" i="2"/>
  <c r="BF11" i="2" s="1"/>
  <c r="AL18" i="2"/>
  <c r="AM18" i="2" s="1"/>
  <c r="AR18" i="2"/>
  <c r="AS18" i="2"/>
  <c r="AU18" i="2" s="1"/>
  <c r="BC18" i="2"/>
  <c r="BD18" i="2"/>
  <c r="BF18" i="2" s="1"/>
  <c r="AL14" i="2"/>
  <c r="AM14" i="2" s="1"/>
  <c r="AR14" i="2"/>
  <c r="AS14" i="2"/>
  <c r="AU14" i="2" s="1"/>
  <c r="BC14" i="2"/>
  <c r="BD14" i="2"/>
  <c r="BF14" i="2" s="1"/>
  <c r="AL12" i="2"/>
  <c r="AM12" i="2" s="1"/>
  <c r="AR12" i="2"/>
  <c r="AS12" i="2"/>
  <c r="AU12" i="2" s="1"/>
  <c r="BC12" i="2"/>
  <c r="BD12" i="2"/>
  <c r="BF12" i="2" s="1"/>
  <c r="AL10" i="2"/>
  <c r="AM10" i="2"/>
  <c r="AR10" i="2"/>
  <c r="AS10" i="2"/>
  <c r="AU10" i="2" s="1"/>
  <c r="BC10" i="2"/>
  <c r="BD10" i="2"/>
  <c r="BF10" i="2" s="1"/>
  <c r="AL15" i="2"/>
  <c r="AM15" i="2" s="1"/>
  <c r="AR15" i="2"/>
  <c r="AS15" i="2"/>
  <c r="AU15" i="2" s="1"/>
  <c r="BC15" i="2"/>
  <c r="BD15" i="2"/>
  <c r="BF15" i="2" s="1"/>
  <c r="AL16" i="2"/>
  <c r="AM16" i="2" s="1"/>
  <c r="AR16" i="2"/>
  <c r="AS16" i="2"/>
  <c r="AU16" i="2" s="1"/>
  <c r="BC16" i="2"/>
  <c r="BD16" i="2"/>
  <c r="BF16" i="2" s="1"/>
  <c r="M13" i="2"/>
  <c r="N13" i="2" s="1"/>
  <c r="O13" i="2"/>
  <c r="P13" i="2" s="1"/>
  <c r="Q13" i="2"/>
  <c r="R13" i="2" s="1"/>
  <c r="V13" i="2"/>
  <c r="X13" i="2"/>
  <c r="Y13" i="2" s="1"/>
  <c r="Z13" i="2"/>
  <c r="AB13" i="2"/>
  <c r="AC13" i="2"/>
  <c r="M17" i="2"/>
  <c r="N17" i="2" s="1"/>
  <c r="O17" i="2"/>
  <c r="P17" i="2" s="1"/>
  <c r="Q17" i="2"/>
  <c r="R17" i="2" s="1"/>
  <c r="V17" i="2"/>
  <c r="X17" i="2"/>
  <c r="Y17" i="2" s="1"/>
  <c r="Z17" i="2"/>
  <c r="AB17" i="2"/>
  <c r="AC17" i="2"/>
  <c r="M11" i="2"/>
  <c r="N11" i="2" s="1"/>
  <c r="O11" i="2"/>
  <c r="P11" i="2" s="1"/>
  <c r="Q11" i="2"/>
  <c r="R11" i="2" s="1"/>
  <c r="V11" i="2"/>
  <c r="X11" i="2"/>
  <c r="Y11" i="2" s="1"/>
  <c r="Z11" i="2"/>
  <c r="AB11" i="2"/>
  <c r="AC11" i="2"/>
  <c r="M18" i="2"/>
  <c r="N18" i="2" s="1"/>
  <c r="O18" i="2"/>
  <c r="P18" i="2" s="1"/>
  <c r="Q18" i="2"/>
  <c r="R18" i="2" s="1"/>
  <c r="V18" i="2"/>
  <c r="X18" i="2"/>
  <c r="Y18" i="2" s="1"/>
  <c r="Z18" i="2"/>
  <c r="AB18" i="2"/>
  <c r="AC18" i="2"/>
  <c r="M14" i="2"/>
  <c r="N14" i="2" s="1"/>
  <c r="O14" i="2"/>
  <c r="P14" i="2" s="1"/>
  <c r="Q14" i="2"/>
  <c r="R14" i="2" s="1"/>
  <c r="V14" i="2"/>
  <c r="X14" i="2"/>
  <c r="Y14" i="2" s="1"/>
  <c r="Z14" i="2"/>
  <c r="AB14" i="2"/>
  <c r="AC14" i="2"/>
  <c r="M12" i="2"/>
  <c r="N12" i="2" s="1"/>
  <c r="O12" i="2"/>
  <c r="P12" i="2" s="1"/>
  <c r="Q12" i="2"/>
  <c r="R12" i="2" s="1"/>
  <c r="V12" i="2"/>
  <c r="X12" i="2"/>
  <c r="Y12" i="2" s="1"/>
  <c r="Z12" i="2"/>
  <c r="AB12" i="2"/>
  <c r="AC12" i="2"/>
  <c r="M10" i="2"/>
  <c r="N10" i="2" s="1"/>
  <c r="O10" i="2"/>
  <c r="P10" i="2" s="1"/>
  <c r="Q10" i="2"/>
  <c r="R10" i="2" s="1"/>
  <c r="V10" i="2"/>
  <c r="X10" i="2"/>
  <c r="Y10" i="2" s="1"/>
  <c r="Z10" i="2"/>
  <c r="AB10" i="2"/>
  <c r="AC10" i="2"/>
  <c r="M15" i="2"/>
  <c r="N15" i="2" s="1"/>
  <c r="O15" i="2"/>
  <c r="P15" i="2" s="1"/>
  <c r="Q15" i="2"/>
  <c r="R15" i="2" s="1"/>
  <c r="V15" i="2"/>
  <c r="X15" i="2"/>
  <c r="Y15" i="2" s="1"/>
  <c r="Z15" i="2"/>
  <c r="AB15" i="2"/>
  <c r="AC15" i="2"/>
  <c r="M16" i="2"/>
  <c r="N16" i="2" s="1"/>
  <c r="O16" i="2"/>
  <c r="P16" i="2" s="1"/>
  <c r="Q16" i="2"/>
  <c r="R16" i="2" s="1"/>
  <c r="V16" i="2"/>
  <c r="X16" i="2"/>
  <c r="Y16" i="2" s="1"/>
  <c r="Z16" i="2"/>
  <c r="AB16" i="2"/>
  <c r="AC16" i="2"/>
  <c r="AL15" i="1"/>
  <c r="AM15" i="1" s="1"/>
  <c r="AR15" i="1"/>
  <c r="AS15" i="1"/>
  <c r="AU15" i="1" s="1"/>
  <c r="BC15" i="1"/>
  <c r="BD15" i="1"/>
  <c r="BF15" i="1" s="1"/>
  <c r="AL13" i="1"/>
  <c r="AM13" i="1" s="1"/>
  <c r="AR13" i="1"/>
  <c r="AS13" i="1"/>
  <c r="AU13" i="1" s="1"/>
  <c r="BC13" i="1"/>
  <c r="BD13" i="1"/>
  <c r="BF13" i="1" s="1"/>
  <c r="AL14" i="1"/>
  <c r="AM14" i="1" s="1"/>
  <c r="AR14" i="1"/>
  <c r="AS14" i="1"/>
  <c r="AU14" i="1" s="1"/>
  <c r="BC14" i="1"/>
  <c r="BD14" i="1"/>
  <c r="BF14" i="1" s="1"/>
  <c r="AL12" i="1"/>
  <c r="AM12" i="1" s="1"/>
  <c r="AR12" i="1"/>
  <c r="AS12" i="1"/>
  <c r="AU12" i="1" s="1"/>
  <c r="BC12" i="1"/>
  <c r="BD12" i="1"/>
  <c r="BF12" i="1" s="1"/>
  <c r="AL18" i="1"/>
  <c r="AM18" i="1" s="1"/>
  <c r="AR18" i="1"/>
  <c r="AS18" i="1"/>
  <c r="AU18" i="1" s="1"/>
  <c r="BC18" i="1"/>
  <c r="BD18" i="1"/>
  <c r="BF18" i="1" s="1"/>
  <c r="AL16" i="1"/>
  <c r="AM16" i="1" s="1"/>
  <c r="AR16" i="1"/>
  <c r="AS16" i="1"/>
  <c r="AU16" i="1" s="1"/>
  <c r="BC16" i="1"/>
  <c r="BD16" i="1"/>
  <c r="BF16" i="1" s="1"/>
  <c r="AL10" i="1"/>
  <c r="AM10" i="1" s="1"/>
  <c r="AR10" i="1"/>
  <c r="AS10" i="1"/>
  <c r="AU10" i="1" s="1"/>
  <c r="BC10" i="1"/>
  <c r="BD10" i="1"/>
  <c r="BF10" i="1" s="1"/>
  <c r="AL17" i="1"/>
  <c r="AM17" i="1" s="1"/>
  <c r="AR17" i="1"/>
  <c r="AS17" i="1"/>
  <c r="AU17" i="1" s="1"/>
  <c r="BC17" i="1"/>
  <c r="BD17" i="1"/>
  <c r="BF17" i="1" s="1"/>
  <c r="AL11" i="1"/>
  <c r="AM11" i="1" s="1"/>
  <c r="AR11" i="1"/>
  <c r="AS11" i="1"/>
  <c r="AU11" i="1" s="1"/>
  <c r="BC11" i="1"/>
  <c r="BD11" i="1"/>
  <c r="BF11" i="1" s="1"/>
  <c r="M16" i="4"/>
  <c r="N16" i="4" s="1"/>
  <c r="O16" i="4"/>
  <c r="P16" i="4" s="1"/>
  <c r="Q16" i="4"/>
  <c r="R16" i="4" s="1"/>
  <c r="V16" i="4"/>
  <c r="X16" i="4"/>
  <c r="Y16" i="4" s="1"/>
  <c r="Z16" i="4"/>
  <c r="AB16" i="4"/>
  <c r="AC16" i="4"/>
  <c r="M14" i="4"/>
  <c r="N14" i="4" s="1"/>
  <c r="O14" i="4"/>
  <c r="P14" i="4" s="1"/>
  <c r="Q14" i="4"/>
  <c r="R14" i="4" s="1"/>
  <c r="V14" i="4"/>
  <c r="X14" i="4"/>
  <c r="Y14" i="4" s="1"/>
  <c r="Z14" i="4"/>
  <c r="AB14" i="4"/>
  <c r="AC14" i="4"/>
  <c r="M15" i="4"/>
  <c r="N15" i="4" s="1"/>
  <c r="O15" i="4"/>
  <c r="P15" i="4" s="1"/>
  <c r="Q15" i="4"/>
  <c r="R15" i="4" s="1"/>
  <c r="V15" i="4"/>
  <c r="X15" i="4"/>
  <c r="Y15" i="4" s="1"/>
  <c r="Z15" i="4"/>
  <c r="AB15" i="4"/>
  <c r="AC15" i="4"/>
  <c r="M10" i="4"/>
  <c r="N10" i="4" s="1"/>
  <c r="O10" i="4"/>
  <c r="P10" i="4" s="1"/>
  <c r="Q10" i="4"/>
  <c r="R10" i="4" s="1"/>
  <c r="V10" i="4"/>
  <c r="X10" i="4"/>
  <c r="Y10" i="4" s="1"/>
  <c r="Z10" i="4"/>
  <c r="AB10" i="4"/>
  <c r="AC10" i="4"/>
  <c r="M18" i="4"/>
  <c r="N18" i="4" s="1"/>
  <c r="O18" i="4"/>
  <c r="P18" i="4" s="1"/>
  <c r="Q18" i="4"/>
  <c r="R18" i="4" s="1"/>
  <c r="V18" i="4"/>
  <c r="X18" i="4"/>
  <c r="Y18" i="4" s="1"/>
  <c r="Z18" i="4"/>
  <c r="AB18" i="4"/>
  <c r="AC18" i="4"/>
  <c r="M13" i="4"/>
  <c r="N13" i="4" s="1"/>
  <c r="O13" i="4"/>
  <c r="P13" i="4" s="1"/>
  <c r="Q13" i="4"/>
  <c r="R13" i="4" s="1"/>
  <c r="V13" i="4"/>
  <c r="X13" i="4"/>
  <c r="Y13" i="4" s="1"/>
  <c r="Z13" i="4"/>
  <c r="AB13" i="4"/>
  <c r="AC13" i="4"/>
  <c r="M17" i="4"/>
  <c r="N17" i="4" s="1"/>
  <c r="O17" i="4"/>
  <c r="P17" i="4" s="1"/>
  <c r="Q17" i="4"/>
  <c r="R17" i="4" s="1"/>
  <c r="V17" i="4"/>
  <c r="X17" i="4"/>
  <c r="Y17" i="4" s="1"/>
  <c r="Z17" i="4"/>
  <c r="AB17" i="4"/>
  <c r="AC17" i="4"/>
  <c r="M12" i="4"/>
  <c r="N12" i="4" s="1"/>
  <c r="O12" i="4"/>
  <c r="P12" i="4" s="1"/>
  <c r="Q12" i="4"/>
  <c r="R12" i="4" s="1"/>
  <c r="V12" i="4"/>
  <c r="X12" i="4"/>
  <c r="Y12" i="4" s="1"/>
  <c r="Z12" i="4"/>
  <c r="AB12" i="4"/>
  <c r="AC12" i="4"/>
  <c r="M11" i="4"/>
  <c r="N11" i="4" s="1"/>
  <c r="O11" i="4"/>
  <c r="P11" i="4" s="1"/>
  <c r="Q11" i="4"/>
  <c r="R11" i="4" s="1"/>
  <c r="V11" i="4"/>
  <c r="X11" i="4"/>
  <c r="Y11" i="4" s="1"/>
  <c r="Z11" i="4"/>
  <c r="AB11" i="4"/>
  <c r="AC11" i="4"/>
  <c r="M15" i="1"/>
  <c r="N15" i="1" s="1"/>
  <c r="O15" i="1"/>
  <c r="P15" i="1" s="1"/>
  <c r="Q15" i="1"/>
  <c r="R15" i="1" s="1"/>
  <c r="V15" i="1"/>
  <c r="X15" i="1"/>
  <c r="Y15" i="1" s="1"/>
  <c r="Z15" i="1"/>
  <c r="AB15" i="1"/>
  <c r="AC15" i="1"/>
  <c r="M13" i="1"/>
  <c r="N13" i="1" s="1"/>
  <c r="O13" i="1"/>
  <c r="P13" i="1" s="1"/>
  <c r="Q13" i="1"/>
  <c r="R13" i="1" s="1"/>
  <c r="V13" i="1"/>
  <c r="X13" i="1"/>
  <c r="Y13" i="1" s="1"/>
  <c r="Z13" i="1"/>
  <c r="AB13" i="1"/>
  <c r="AC13" i="1"/>
  <c r="M14" i="1"/>
  <c r="N14" i="1" s="1"/>
  <c r="O14" i="1"/>
  <c r="P14" i="1" s="1"/>
  <c r="Q14" i="1"/>
  <c r="R14" i="1" s="1"/>
  <c r="V14" i="1"/>
  <c r="X14" i="1"/>
  <c r="Y14" i="1" s="1"/>
  <c r="Z14" i="1"/>
  <c r="AB14" i="1"/>
  <c r="AC14" i="1"/>
  <c r="M12" i="1"/>
  <c r="N12" i="1" s="1"/>
  <c r="O12" i="1"/>
  <c r="P12" i="1" s="1"/>
  <c r="Q12" i="1"/>
  <c r="R12" i="1" s="1"/>
  <c r="V12" i="1"/>
  <c r="X12" i="1"/>
  <c r="Y12" i="1" s="1"/>
  <c r="Z12" i="1"/>
  <c r="AB12" i="1"/>
  <c r="AC12" i="1"/>
  <c r="M18" i="1"/>
  <c r="N18" i="1" s="1"/>
  <c r="O18" i="1"/>
  <c r="P18" i="1" s="1"/>
  <c r="Q18" i="1"/>
  <c r="R18" i="1" s="1"/>
  <c r="V18" i="1"/>
  <c r="X18" i="1"/>
  <c r="Y18" i="1" s="1"/>
  <c r="Z18" i="1"/>
  <c r="AB18" i="1"/>
  <c r="AC18" i="1"/>
  <c r="M16" i="1"/>
  <c r="N16" i="1" s="1"/>
  <c r="O16" i="1"/>
  <c r="P16" i="1" s="1"/>
  <c r="Q16" i="1"/>
  <c r="R16" i="1" s="1"/>
  <c r="V16" i="1"/>
  <c r="X16" i="1"/>
  <c r="Y16" i="1" s="1"/>
  <c r="Z16" i="1"/>
  <c r="AB16" i="1"/>
  <c r="AC16" i="1"/>
  <c r="M10" i="1"/>
  <c r="N10" i="1" s="1"/>
  <c r="O10" i="1"/>
  <c r="P10" i="1" s="1"/>
  <c r="Q10" i="1"/>
  <c r="R10" i="1" s="1"/>
  <c r="V10" i="1"/>
  <c r="X10" i="1"/>
  <c r="Y10" i="1" s="1"/>
  <c r="Z10" i="1"/>
  <c r="AB10" i="1"/>
  <c r="AC10" i="1"/>
  <c r="M17" i="1"/>
  <c r="N17" i="1" s="1"/>
  <c r="O17" i="1"/>
  <c r="P17" i="1" s="1"/>
  <c r="Q17" i="1"/>
  <c r="R17" i="1" s="1"/>
  <c r="V17" i="1"/>
  <c r="X17" i="1"/>
  <c r="Y17" i="1" s="1"/>
  <c r="Z17" i="1"/>
  <c r="AB17" i="1"/>
  <c r="AC17" i="1"/>
  <c r="M11" i="1"/>
  <c r="N11" i="1" s="1"/>
  <c r="O11" i="1"/>
  <c r="P11" i="1" s="1"/>
  <c r="Q11" i="1"/>
  <c r="R11" i="1" s="1"/>
  <c r="V11" i="1"/>
  <c r="X11" i="1"/>
  <c r="Y11" i="1" s="1"/>
  <c r="Z11" i="1"/>
  <c r="AB11" i="1"/>
  <c r="AC11" i="1"/>
  <c r="BK9" i="4"/>
  <c r="BJ9" i="4" s="1"/>
  <c r="BD9" i="4"/>
  <c r="BF9" i="4" s="1"/>
  <c r="BC9" i="4"/>
  <c r="AZ9" i="4"/>
  <c r="AY9" i="4" s="1"/>
  <c r="AS9" i="4"/>
  <c r="AU9" i="4" s="1"/>
  <c r="AR9" i="4"/>
  <c r="AO9" i="4"/>
  <c r="AN9" i="4"/>
  <c r="AL9" i="4"/>
  <c r="AM9" i="4" s="1"/>
  <c r="AP9" i="4" s="1"/>
  <c r="AC9" i="4"/>
  <c r="AB9" i="4"/>
  <c r="Z9" i="4"/>
  <c r="X9" i="4"/>
  <c r="Y9" i="4" s="1"/>
  <c r="V9" i="4"/>
  <c r="T9" i="4"/>
  <c r="S9" i="4"/>
  <c r="Q9" i="4"/>
  <c r="R9" i="4" s="1"/>
  <c r="U9" i="4" s="1"/>
  <c r="O9" i="4"/>
  <c r="P9" i="4" s="1"/>
  <c r="M9" i="4"/>
  <c r="N9" i="4" s="1"/>
  <c r="BL8" i="4"/>
  <c r="BA8" i="4"/>
  <c r="AP8" i="4"/>
  <c r="U8" i="4"/>
  <c r="BL6" i="4"/>
  <c r="BA6" i="4"/>
  <c r="AP6" i="4"/>
  <c r="U6" i="4"/>
  <c r="BK9" i="3"/>
  <c r="BJ9" i="3" s="1"/>
  <c r="BD9" i="3"/>
  <c r="BF9" i="3" s="1"/>
  <c r="BC9" i="3"/>
  <c r="AZ9" i="3"/>
  <c r="AY9" i="3"/>
  <c r="AS9" i="3"/>
  <c r="AU9" i="3" s="1"/>
  <c r="AR9" i="3"/>
  <c r="AO9" i="3"/>
  <c r="AN9" i="3" s="1"/>
  <c r="AL9" i="3"/>
  <c r="AM9" i="3" s="1"/>
  <c r="AP9" i="3" s="1"/>
  <c r="AC9" i="3"/>
  <c r="AB9" i="3"/>
  <c r="Z9" i="3"/>
  <c r="X9" i="3"/>
  <c r="Y9" i="3" s="1"/>
  <c r="V9" i="3"/>
  <c r="T9" i="3"/>
  <c r="S9" i="3" s="1"/>
  <c r="Q9" i="3"/>
  <c r="R9" i="3" s="1"/>
  <c r="U9" i="3" s="1"/>
  <c r="O9" i="3"/>
  <c r="P9" i="3" s="1"/>
  <c r="M9" i="3"/>
  <c r="N9" i="3" s="1"/>
  <c r="BL8" i="3"/>
  <c r="BA8" i="3"/>
  <c r="AP8" i="3"/>
  <c r="U8" i="3"/>
  <c r="BL6" i="3"/>
  <c r="BA6" i="3"/>
  <c r="AP6" i="3"/>
  <c r="U6" i="3"/>
  <c r="BK9" i="2"/>
  <c r="BJ9" i="2"/>
  <c r="BD9" i="2"/>
  <c r="BF9" i="2" s="1"/>
  <c r="BC9" i="2"/>
  <c r="AZ9" i="2"/>
  <c r="AY9" i="2"/>
  <c r="AU9" i="2"/>
  <c r="AS9" i="2"/>
  <c r="AR9" i="2"/>
  <c r="AO9" i="2"/>
  <c r="AN9" i="2"/>
  <c r="AL9" i="2"/>
  <c r="AM9" i="2" s="1"/>
  <c r="AP9" i="2" s="1"/>
  <c r="AC9" i="2"/>
  <c r="AB9" i="2"/>
  <c r="Z9" i="2"/>
  <c r="X9" i="2"/>
  <c r="Y9" i="2" s="1"/>
  <c r="V9" i="2"/>
  <c r="T9" i="2"/>
  <c r="S9" i="2"/>
  <c r="Q9" i="2"/>
  <c r="R9" i="2" s="1"/>
  <c r="U9" i="2" s="1"/>
  <c r="O9" i="2"/>
  <c r="P9" i="2" s="1"/>
  <c r="M9" i="2"/>
  <c r="N9" i="2" s="1"/>
  <c r="BL8" i="2"/>
  <c r="BA8" i="2"/>
  <c r="AP8" i="2"/>
  <c r="U8" i="2"/>
  <c r="BL6" i="2"/>
  <c r="BA6" i="2"/>
  <c r="AP6" i="2"/>
  <c r="U6" i="2"/>
  <c r="BG9" i="3" l="1"/>
  <c r="BI9" i="3" s="1"/>
  <c r="BG9" i="2"/>
  <c r="BI9" i="2" s="1"/>
  <c r="BL9" i="2" s="1"/>
  <c r="BL9" i="3"/>
  <c r="BG9" i="4"/>
  <c r="BI9" i="4" s="1"/>
  <c r="BL9" i="4" s="1"/>
  <c r="AV9" i="4"/>
  <c r="AX9" i="4" s="1"/>
  <c r="BA9" i="4" s="1"/>
  <c r="AV9" i="2"/>
  <c r="AX9" i="2" s="1"/>
  <c r="BA9" i="2" s="1"/>
  <c r="AV9" i="3"/>
  <c r="AX9" i="3" s="1"/>
  <c r="BA9" i="3" s="1"/>
  <c r="AV16" i="3"/>
  <c r="AX16" i="3" s="1"/>
  <c r="AV14" i="4"/>
  <c r="AX14" i="4" s="1"/>
  <c r="AV18" i="4"/>
  <c r="AX18" i="4" s="1"/>
  <c r="BG10" i="4"/>
  <c r="BI10" i="4" s="1"/>
  <c r="BG17" i="4"/>
  <c r="BI17" i="4" s="1"/>
  <c r="BG14" i="4"/>
  <c r="BI14" i="4" s="1"/>
  <c r="BG18" i="4"/>
  <c r="BI18" i="4" s="1"/>
  <c r="AV16" i="4"/>
  <c r="AX16" i="4" s="1"/>
  <c r="AV10" i="4"/>
  <c r="AX10" i="4" s="1"/>
  <c r="AV12" i="4"/>
  <c r="AX12" i="4" s="1"/>
  <c r="BG16" i="3"/>
  <c r="BI16" i="3" s="1"/>
  <c r="AV15" i="3"/>
  <c r="AX15" i="3" s="1"/>
  <c r="BG17" i="3"/>
  <c r="BI17" i="3" s="1"/>
  <c r="BG11" i="3"/>
  <c r="BI11" i="3" s="1"/>
  <c r="AV15" i="2"/>
  <c r="AX15" i="2" s="1"/>
  <c r="AV18" i="2"/>
  <c r="AX18" i="2" s="1"/>
  <c r="BG17" i="2"/>
  <c r="BI17" i="2" s="1"/>
  <c r="BG18" i="2"/>
  <c r="BI18" i="2" s="1"/>
  <c r="AV13" i="2"/>
  <c r="AX13" i="2" s="1"/>
  <c r="BG10" i="1"/>
  <c r="BI10" i="1" s="1"/>
  <c r="BG13" i="1"/>
  <c r="BI13" i="1" s="1"/>
  <c r="AV10" i="1"/>
  <c r="AX10" i="1" s="1"/>
  <c r="AV13" i="1"/>
  <c r="AX13" i="1" s="1"/>
  <c r="BG12" i="4"/>
  <c r="BI12" i="4" s="1"/>
  <c r="AV17" i="4"/>
  <c r="AX17" i="4" s="1"/>
  <c r="AV15" i="4"/>
  <c r="AX15" i="4" s="1"/>
  <c r="BG11" i="4"/>
  <c r="BI11" i="4" s="1"/>
  <c r="BG16" i="4"/>
  <c r="BI16" i="4" s="1"/>
  <c r="AV11" i="4"/>
  <c r="AX11" i="4" s="1"/>
  <c r="BG13" i="4"/>
  <c r="BI13" i="4" s="1"/>
  <c r="BG15" i="4"/>
  <c r="BI15" i="4" s="1"/>
  <c r="BG15" i="3"/>
  <c r="BI15" i="3" s="1"/>
  <c r="AV17" i="3"/>
  <c r="AX17" i="3" s="1"/>
  <c r="AV11" i="3"/>
  <c r="AX11" i="3" s="1"/>
  <c r="BG13" i="3"/>
  <c r="BI13" i="3" s="1"/>
  <c r="BG12" i="3"/>
  <c r="BI12" i="3" s="1"/>
  <c r="AV13" i="3"/>
  <c r="AX13" i="3" s="1"/>
  <c r="AV18" i="3"/>
  <c r="AX18" i="3" s="1"/>
  <c r="BG14" i="3"/>
  <c r="BI14" i="3" s="1"/>
  <c r="AV12" i="3"/>
  <c r="AX12" i="3" s="1"/>
  <c r="BG18" i="3"/>
  <c r="BI18" i="3" s="1"/>
  <c r="AV14" i="3"/>
  <c r="AX14" i="3" s="1"/>
  <c r="BG13" i="2"/>
  <c r="BI13" i="2" s="1"/>
  <c r="BG15" i="2"/>
  <c r="BI15" i="2" s="1"/>
  <c r="AV10" i="2"/>
  <c r="AX10" i="2" s="1"/>
  <c r="BG16" i="2"/>
  <c r="BI16" i="2" s="1"/>
  <c r="BG14" i="2"/>
  <c r="BI14" i="2" s="1"/>
  <c r="AV16" i="2"/>
  <c r="AX16" i="2" s="1"/>
  <c r="AV14" i="2"/>
  <c r="AX14" i="2" s="1"/>
  <c r="BG10" i="2"/>
  <c r="BI10" i="2" s="1"/>
  <c r="AV11" i="2"/>
  <c r="AX11" i="2" s="1"/>
  <c r="AV17" i="2"/>
  <c r="AX17" i="2" s="1"/>
  <c r="BG12" i="2"/>
  <c r="BI12" i="2" s="1"/>
  <c r="BG11" i="2"/>
  <c r="BI11" i="2" s="1"/>
  <c r="BG11" i="1"/>
  <c r="BI11" i="1" s="1"/>
  <c r="BG18" i="1"/>
  <c r="BI18" i="1" s="1"/>
  <c r="BG12" i="1"/>
  <c r="BI12" i="1" s="1"/>
  <c r="AV12" i="1"/>
  <c r="AX12" i="1" s="1"/>
  <c r="AV16" i="1"/>
  <c r="AX16" i="1" s="1"/>
  <c r="BG16" i="1"/>
  <c r="BI16" i="1" s="1"/>
  <c r="BG14" i="1"/>
  <c r="BI14" i="1" s="1"/>
  <c r="AV18" i="1"/>
  <c r="AX18" i="1" s="1"/>
  <c r="BG17" i="1"/>
  <c r="BI17" i="1" s="1"/>
  <c r="AV13" i="4"/>
  <c r="AX13" i="4" s="1"/>
  <c r="AV10" i="3"/>
  <c r="AX10" i="3" s="1"/>
  <c r="BG10" i="3"/>
  <c r="BI10" i="3" s="1"/>
  <c r="AV12" i="2"/>
  <c r="AX12" i="2" s="1"/>
  <c r="AV17" i="1"/>
  <c r="AX17" i="1" s="1"/>
  <c r="AV14" i="1"/>
  <c r="AX14" i="1" s="1"/>
  <c r="BG15" i="1"/>
  <c r="BI15" i="1" s="1"/>
  <c r="AV11" i="1"/>
  <c r="AX11" i="1" s="1"/>
  <c r="AV15" i="1"/>
  <c r="AX15" i="1" s="1"/>
  <c r="U6" i="1"/>
  <c r="AP6" i="1"/>
  <c r="BA6" i="1"/>
  <c r="BL6" i="1"/>
  <c r="U8" i="1"/>
  <c r="AP8" i="1"/>
  <c r="BA8" i="1"/>
  <c r="BL8" i="1"/>
  <c r="M9" i="1"/>
  <c r="N9" i="1" s="1"/>
  <c r="O9" i="1"/>
  <c r="P9" i="1" s="1"/>
  <c r="Q9" i="1"/>
  <c r="R9" i="1" s="1"/>
  <c r="T9" i="1"/>
  <c r="S9" i="1" s="1"/>
  <c r="V9" i="1"/>
  <c r="X9" i="1"/>
  <c r="Y9" i="1" s="1"/>
  <c r="Z9" i="1"/>
  <c r="AB9" i="1"/>
  <c r="AC9" i="1"/>
  <c r="AL9" i="1"/>
  <c r="AM9" i="1" s="1"/>
  <c r="AO9" i="1"/>
  <c r="AN9" i="1" s="1"/>
  <c r="AR9" i="1"/>
  <c r="AS9" i="1"/>
  <c r="AU9" i="1" s="1"/>
  <c r="AZ9" i="1"/>
  <c r="AY9" i="1" s="1"/>
  <c r="BC9" i="1"/>
  <c r="BD9" i="1"/>
  <c r="BF9" i="1" s="1"/>
  <c r="BK9" i="1"/>
  <c r="BJ9" i="1" s="1"/>
  <c r="AV9" i="1" l="1"/>
  <c r="AX9" i="1" s="1"/>
  <c r="BA9" i="1" s="1"/>
  <c r="BG9" i="1"/>
  <c r="BI9" i="1" s="1"/>
  <c r="BL9" i="1" s="1"/>
  <c r="AP9" i="1"/>
  <c r="U9" i="1"/>
  <c r="AO10" i="1" l="1"/>
  <c r="AZ10" i="1"/>
  <c r="AY10" i="1" s="1"/>
  <c r="T10" i="1"/>
  <c r="AZ11" i="1" l="1"/>
  <c r="AY11" i="1" s="1"/>
  <c r="AO11" i="1"/>
  <c r="AN11" i="1" s="1"/>
  <c r="T11" i="1"/>
  <c r="S11" i="1" s="1"/>
  <c r="BA10" i="1"/>
  <c r="BA11" i="1" s="1"/>
  <c r="S10" i="1"/>
  <c r="U10" i="1" s="1"/>
  <c r="AN10" i="1"/>
  <c r="AP10" i="1" s="1"/>
  <c r="BK10" i="1"/>
  <c r="BK11" i="1" s="1"/>
  <c r="BJ11" i="1" s="1"/>
  <c r="U11" i="1" l="1"/>
  <c r="AP11" i="1"/>
  <c r="BJ10" i="1"/>
  <c r="BL10" i="1" s="1"/>
  <c r="BL11" i="1" s="1"/>
  <c r="AO12" i="1" l="1"/>
  <c r="AO13" i="1" s="1"/>
  <c r="T12" i="1"/>
  <c r="T13" i="1" s="1"/>
  <c r="T14" i="1" l="1"/>
  <c r="S13" i="1"/>
  <c r="AO14" i="1"/>
  <c r="AN13" i="1"/>
  <c r="AZ12" i="1"/>
  <c r="AZ13" i="1" s="1"/>
  <c r="S12" i="1"/>
  <c r="U12" i="1" s="1"/>
  <c r="AN12" i="1"/>
  <c r="AP12" i="1" s="1"/>
  <c r="BK10" i="2" l="1"/>
  <c r="AO10" i="2"/>
  <c r="AZ10" i="2"/>
  <c r="AZ14" i="1"/>
  <c r="AY13" i="1"/>
  <c r="AP13" i="1"/>
  <c r="AN14" i="1"/>
  <c r="AO15" i="1"/>
  <c r="U13" i="1"/>
  <c r="S14" i="1"/>
  <c r="T15" i="1"/>
  <c r="BK12" i="1"/>
  <c r="BK13" i="1" s="1"/>
  <c r="AY12" i="1"/>
  <c r="BA12" i="1" s="1"/>
  <c r="BJ10" i="2" l="1"/>
  <c r="BL10" i="2" s="1"/>
  <c r="BK11" i="2"/>
  <c r="BJ11" i="2" s="1"/>
  <c r="AY10" i="2"/>
  <c r="AZ11" i="2"/>
  <c r="AY11" i="2" s="1"/>
  <c r="AN10" i="2"/>
  <c r="AO11" i="2"/>
  <c r="AN11" i="2" s="1"/>
  <c r="BA10" i="2"/>
  <c r="T16" i="1"/>
  <c r="S15" i="1"/>
  <c r="BA13" i="1"/>
  <c r="U14" i="1"/>
  <c r="AO16" i="1"/>
  <c r="AN15" i="1"/>
  <c r="AP14" i="1"/>
  <c r="BK14" i="1"/>
  <c r="BJ13" i="1"/>
  <c r="AY14" i="1"/>
  <c r="AZ15" i="1"/>
  <c r="BJ12" i="1"/>
  <c r="BL12" i="1" s="1"/>
  <c r="BL11" i="2" l="1"/>
  <c r="T10" i="2"/>
  <c r="BJ14" i="1"/>
  <c r="BK15" i="1"/>
  <c r="AP15" i="1"/>
  <c r="AO17" i="1"/>
  <c r="AN16" i="1"/>
  <c r="BA14" i="1"/>
  <c r="U15" i="1"/>
  <c r="AZ16" i="1"/>
  <c r="AY15" i="1"/>
  <c r="BL13" i="1"/>
  <c r="T17" i="1"/>
  <c r="S16" i="1"/>
  <c r="AP16" i="1" l="1"/>
  <c r="S10" i="2"/>
  <c r="T11" i="2"/>
  <c r="AZ17" i="1"/>
  <c r="AY16" i="1"/>
  <c r="AN17" i="1"/>
  <c r="AO18" i="1"/>
  <c r="AN18" i="1" s="1"/>
  <c r="U16" i="1"/>
  <c r="S17" i="1"/>
  <c r="T18" i="1"/>
  <c r="S18" i="1" s="1"/>
  <c r="BK16" i="1"/>
  <c r="BJ15" i="1"/>
  <c r="BA15" i="1"/>
  <c r="BL14" i="1"/>
  <c r="AP17" i="1" l="1"/>
  <c r="AP18" i="1" s="1"/>
  <c r="S11" i="2"/>
  <c r="T12" i="2"/>
  <c r="U17" i="1"/>
  <c r="BK17" i="1"/>
  <c r="BJ16" i="1"/>
  <c r="U18" i="1"/>
  <c r="BA16" i="1"/>
  <c r="BL15" i="1"/>
  <c r="AY17" i="1"/>
  <c r="AZ18" i="1"/>
  <c r="AY18" i="1" s="1"/>
  <c r="AO10" i="4"/>
  <c r="AO11" i="4" s="1"/>
  <c r="AZ10" i="4"/>
  <c r="AZ11" i="4" s="1"/>
  <c r="T10" i="4"/>
  <c r="S10" i="4" s="1"/>
  <c r="U10" i="4" s="1"/>
  <c r="BK10" i="4"/>
  <c r="BJ10" i="4" s="1"/>
  <c r="BL10" i="4" s="1"/>
  <c r="BK11" i="4" l="1"/>
  <c r="BJ11" i="4" s="1"/>
  <c r="BL11" i="4" s="1"/>
  <c r="BA17" i="1"/>
  <c r="AY10" i="4"/>
  <c r="BA10" i="4" s="1"/>
  <c r="AN10" i="4"/>
  <c r="AP10" i="4" s="1"/>
  <c r="AY11" i="4"/>
  <c r="AN11" i="4"/>
  <c r="T11" i="4"/>
  <c r="T13" i="2"/>
  <c r="S12" i="2"/>
  <c r="BL16" i="1"/>
  <c r="BJ17" i="1"/>
  <c r="BK18" i="1"/>
  <c r="BJ18" i="1" s="1"/>
  <c r="BA18" i="1"/>
  <c r="BA11" i="4" l="1"/>
  <c r="BL17" i="1"/>
  <c r="BL18" i="1" s="1"/>
  <c r="AP11" i="4"/>
  <c r="S11" i="4"/>
  <c r="U11" i="4" s="1"/>
  <c r="S13" i="2"/>
  <c r="T14" i="2"/>
  <c r="S14" i="2" l="1"/>
  <c r="T15" i="2"/>
  <c r="S15" i="2" l="1"/>
  <c r="T16" i="2"/>
  <c r="BK12" i="4" l="1"/>
  <c r="S16" i="2"/>
  <c r="T17" i="2"/>
  <c r="AO12" i="4" l="1"/>
  <c r="AZ12" i="4"/>
  <c r="BK13" i="4"/>
  <c r="BJ12" i="4"/>
  <c r="BL12" i="4" s="1"/>
  <c r="S17" i="2"/>
  <c r="T18" i="2"/>
  <c r="S18" i="2" s="1"/>
  <c r="U10" i="2"/>
  <c r="U11" i="2"/>
  <c r="U12" i="2"/>
  <c r="U13" i="2"/>
  <c r="U14" i="2"/>
  <c r="U15" i="2" s="1"/>
  <c r="U16" i="2" s="1"/>
  <c r="U17" i="2" s="1"/>
  <c r="U18" i="2" s="1"/>
  <c r="AP10" i="2"/>
  <c r="AP11" i="2"/>
  <c r="AO12" i="2"/>
  <c r="AN12" i="2" s="1"/>
  <c r="AP12" i="2" s="1"/>
  <c r="AO13" i="2"/>
  <c r="AN13" i="2" s="1"/>
  <c r="AZ12" i="2"/>
  <c r="AY12" i="2" s="1"/>
  <c r="BA12" i="2" s="1"/>
  <c r="BA11" i="2"/>
  <c r="BK12" i="2"/>
  <c r="BK13" i="2"/>
  <c r="BK14" i="2"/>
  <c r="BJ14" i="2"/>
  <c r="BJ13" i="2"/>
  <c r="BJ12" i="2"/>
  <c r="BL12" i="2"/>
  <c r="BL13" i="2" s="1"/>
  <c r="BK15" i="2"/>
  <c r="BJ15" i="2" s="1"/>
  <c r="BK16" i="2"/>
  <c r="BJ16" i="2" s="1"/>
  <c r="BK17" i="2"/>
  <c r="BK18" i="2" s="1"/>
  <c r="BJ18" i="2" s="1"/>
  <c r="AP13" i="2" l="1"/>
  <c r="BL14" i="2"/>
  <c r="BL15" i="2" s="1"/>
  <c r="BL16" i="2" s="1"/>
  <c r="AZ13" i="2"/>
  <c r="AO14" i="2"/>
  <c r="BJ17" i="2"/>
  <c r="BJ13" i="4"/>
  <c r="BK14" i="4"/>
  <c r="BL13" i="4"/>
  <c r="AO13" i="4"/>
  <c r="AN12" i="4"/>
  <c r="AP12" i="4" s="1"/>
  <c r="T12" i="4"/>
  <c r="AZ13" i="4"/>
  <c r="AY12" i="4"/>
  <c r="BA12" i="4" s="1"/>
  <c r="AN14" i="2" l="1"/>
  <c r="AP14" i="2" s="1"/>
  <c r="AO15" i="2"/>
  <c r="AZ14" i="2"/>
  <c r="AY13" i="2"/>
  <c r="BA13" i="2" s="1"/>
  <c r="BL17" i="2"/>
  <c r="BL18" i="2" s="1"/>
  <c r="AN13" i="4"/>
  <c r="AP13" i="4" s="1"/>
  <c r="AO14" i="4"/>
  <c r="AY13" i="4"/>
  <c r="BA13" i="4" s="1"/>
  <c r="AZ14" i="4"/>
  <c r="BK15" i="4"/>
  <c r="BJ14" i="4"/>
  <c r="BL14" i="4" s="1"/>
  <c r="T13" i="4"/>
  <c r="S12" i="4"/>
  <c r="U12" i="4" s="1"/>
  <c r="AY14" i="2" l="1"/>
  <c r="BA14" i="2" s="1"/>
  <c r="AZ15" i="2"/>
  <c r="AN15" i="2"/>
  <c r="AP15" i="2" s="1"/>
  <c r="AO16" i="2"/>
  <c r="S13" i="4"/>
  <c r="U13" i="4" s="1"/>
  <c r="T14" i="4"/>
  <c r="AZ15" i="4"/>
  <c r="AY14" i="4"/>
  <c r="BA14" i="4" s="1"/>
  <c r="BJ15" i="4"/>
  <c r="BL15" i="4" s="1"/>
  <c r="BK16" i="4"/>
  <c r="AO15" i="4"/>
  <c r="AN14" i="4"/>
  <c r="AP14" i="4" s="1"/>
  <c r="AO17" i="2" l="1"/>
  <c r="AN16" i="2"/>
  <c r="AP16" i="2" s="1"/>
  <c r="AY15" i="2"/>
  <c r="BA15" i="2" s="1"/>
  <c r="AZ16" i="2"/>
  <c r="AN15" i="4"/>
  <c r="AP15" i="4" s="1"/>
  <c r="AO16" i="4"/>
  <c r="BK17" i="4"/>
  <c r="BJ16" i="4"/>
  <c r="BL16" i="4" s="1"/>
  <c r="AY15" i="4"/>
  <c r="BA15" i="4" s="1"/>
  <c r="AZ16" i="4"/>
  <c r="T15" i="4"/>
  <c r="S14" i="4"/>
  <c r="U14" i="4" s="1"/>
  <c r="AN17" i="2" l="1"/>
  <c r="AP17" i="2" s="1"/>
  <c r="AO18" i="2"/>
  <c r="AN18" i="2" s="1"/>
  <c r="AP18" i="2" s="1"/>
  <c r="AY16" i="2"/>
  <c r="BA16" i="2" s="1"/>
  <c r="AZ17" i="2"/>
  <c r="AZ17" i="4"/>
  <c r="AY16" i="4"/>
  <c r="BA16" i="4" s="1"/>
  <c r="BJ17" i="4"/>
  <c r="BL17" i="4" s="1"/>
  <c r="BK18" i="4"/>
  <c r="BJ18" i="4" s="1"/>
  <c r="S15" i="4"/>
  <c r="U15" i="4" s="1"/>
  <c r="T16" i="4"/>
  <c r="AO17" i="4"/>
  <c r="AN16" i="4"/>
  <c r="AP16" i="4" s="1"/>
  <c r="AY17" i="2" l="1"/>
  <c r="BA17" i="2" s="1"/>
  <c r="AZ18" i="2"/>
  <c r="AY18" i="2" s="1"/>
  <c r="BA18" i="2" s="1"/>
  <c r="AN17" i="4"/>
  <c r="AP17" i="4" s="1"/>
  <c r="AO18" i="4"/>
  <c r="AN18" i="4" s="1"/>
  <c r="AP18" i="4" s="1"/>
  <c r="BL18" i="4"/>
  <c r="T17" i="4"/>
  <c r="S16" i="4"/>
  <c r="U16" i="4" s="1"/>
  <c r="AY17" i="4"/>
  <c r="BA17" i="4" s="1"/>
  <c r="AZ18" i="4"/>
  <c r="AY18" i="4" s="1"/>
  <c r="BA18" i="4" l="1"/>
  <c r="S17" i="4"/>
  <c r="U17" i="4" s="1"/>
  <c r="T18" i="4"/>
  <c r="S18" i="4" s="1"/>
  <c r="U18" i="4" l="1"/>
  <c r="BK10" i="3" l="1"/>
  <c r="T10" i="3"/>
  <c r="AO10" i="3"/>
  <c r="AZ10" i="3"/>
  <c r="AY10" i="3" l="1"/>
  <c r="BA10" i="3" s="1"/>
  <c r="AZ11" i="3"/>
  <c r="AN10" i="3"/>
  <c r="AO11" i="3"/>
  <c r="S10" i="3"/>
  <c r="U10" i="3" s="1"/>
  <c r="T11" i="3"/>
  <c r="BJ10" i="3"/>
  <c r="BL10" i="3" s="1"/>
  <c r="BK11" i="3"/>
  <c r="AP10" i="3"/>
  <c r="BJ11" i="3" l="1"/>
  <c r="BL11" i="3" s="1"/>
  <c r="BK12" i="3"/>
  <c r="S11" i="3"/>
  <c r="U11" i="3" s="1"/>
  <c r="T12" i="3"/>
  <c r="AN11" i="3"/>
  <c r="AP11" i="3" s="1"/>
  <c r="AO12" i="3"/>
  <c r="AY11" i="3"/>
  <c r="BA11" i="3" s="1"/>
  <c r="AZ12" i="3"/>
  <c r="AZ13" i="3" l="1"/>
  <c r="AY12" i="3"/>
  <c r="BA12" i="3" s="1"/>
  <c r="AO13" i="3"/>
  <c r="AN12" i="3"/>
  <c r="AP12" i="3" s="1"/>
  <c r="T13" i="3"/>
  <c r="S12" i="3"/>
  <c r="U12" i="3" s="1"/>
  <c r="BK13" i="3"/>
  <c r="BJ12" i="3"/>
  <c r="BL12" i="3" s="1"/>
  <c r="BJ13" i="3" l="1"/>
  <c r="BL13" i="3" s="1"/>
  <c r="BK14" i="3"/>
  <c r="S13" i="3"/>
  <c r="U13" i="3" s="1"/>
  <c r="T14" i="3"/>
  <c r="AN13" i="3"/>
  <c r="AP13" i="3" s="1"/>
  <c r="AO14" i="3"/>
  <c r="AY13" i="3"/>
  <c r="BA13" i="3" s="1"/>
  <c r="AZ14" i="3"/>
  <c r="AZ15" i="3" l="1"/>
  <c r="AY14" i="3"/>
  <c r="BA14" i="3" s="1"/>
  <c r="AO15" i="3"/>
  <c r="AN14" i="3"/>
  <c r="AP14" i="3" s="1"/>
  <c r="T15" i="3"/>
  <c r="S14" i="3"/>
  <c r="U14" i="3" s="1"/>
  <c r="BK15" i="3"/>
  <c r="BJ14" i="3"/>
  <c r="BL14" i="3" s="1"/>
  <c r="BJ15" i="3" l="1"/>
  <c r="BL15" i="3" s="1"/>
  <c r="BK16" i="3"/>
  <c r="T16" i="3"/>
  <c r="S15" i="3"/>
  <c r="U15" i="3" s="1"/>
  <c r="AN15" i="3"/>
  <c r="AP15" i="3" s="1"/>
  <c r="AO16" i="3"/>
  <c r="AZ16" i="3"/>
  <c r="AY15" i="3"/>
  <c r="BA15" i="3" s="1"/>
  <c r="AN16" i="3" l="1"/>
  <c r="AP16" i="3" s="1"/>
  <c r="AO17" i="3"/>
  <c r="BJ16" i="3"/>
  <c r="BL16" i="3" s="1"/>
  <c r="BK17" i="3"/>
  <c r="AY16" i="3"/>
  <c r="BA16" i="3" s="1"/>
  <c r="AZ17" i="3"/>
  <c r="S16" i="3"/>
  <c r="U16" i="3" s="1"/>
  <c r="T17" i="3"/>
  <c r="T18" i="3" l="1"/>
  <c r="S18" i="3" s="1"/>
  <c r="S17" i="3"/>
  <c r="U17" i="3" s="1"/>
  <c r="AZ18" i="3"/>
  <c r="AY18" i="3" s="1"/>
  <c r="AY17" i="3"/>
  <c r="BA17" i="3" s="1"/>
  <c r="BK18" i="3"/>
  <c r="BJ18" i="3" s="1"/>
  <c r="BJ17" i="3"/>
  <c r="BL17" i="3" s="1"/>
  <c r="AO18" i="3"/>
  <c r="AN18" i="3" s="1"/>
  <c r="AN17" i="3"/>
  <c r="AP17" i="3" s="1"/>
  <c r="BL18" i="3" l="1"/>
  <c r="BA18" i="3"/>
  <c r="AP18" i="3"/>
  <c r="U18" i="3"/>
</calcChain>
</file>

<file path=xl/sharedStrings.xml><?xml version="1.0" encoding="utf-8"?>
<sst xmlns="http://schemas.openxmlformats.org/spreadsheetml/2006/main" count="860" uniqueCount="135">
  <si>
    <t>Rank order</t>
  </si>
  <si>
    <t>alpha of</t>
  </si>
  <si>
    <t>as % of total</t>
  </si>
  <si>
    <t>meas. (M)</t>
  </si>
  <si>
    <t>after removing meas. error)</t>
  </si>
  <si>
    <t>DA test from descriptive stats</t>
  </si>
  <si>
    <t>Observed</t>
  </si>
  <si>
    <t>Expected</t>
  </si>
  <si>
    <t>Species/Sample</t>
  </si>
  <si>
    <t>Trait name</t>
  </si>
  <si>
    <t>MS</t>
  </si>
  <si>
    <t>df*</t>
  </si>
  <si>
    <t>df</t>
  </si>
  <si>
    <t>F</t>
  </si>
  <si>
    <t>P</t>
  </si>
  <si>
    <t>signif. level</t>
  </si>
  <si>
    <t>of test P</t>
  </si>
  <si>
    <t>b/n sides var.</t>
  </si>
  <si>
    <t>(compute fr df)</t>
  </si>
  <si>
    <t>Approx. df</t>
  </si>
  <si>
    <t>mean[(R+L)/2]</t>
  </si>
  <si>
    <t>SE[(R+L)/2]</t>
  </si>
  <si>
    <t>mean(R-L)</t>
  </si>
  <si>
    <t>SE(R-L)</t>
  </si>
  <si>
    <t>N</t>
  </si>
  <si>
    <t>Skew</t>
  </si>
  <si>
    <t>Kurtosis</t>
  </si>
  <si>
    <t>Ts</t>
  </si>
  <si>
    <t>value</t>
  </si>
  <si>
    <t>Skew SE</t>
  </si>
  <si>
    <t>P.skew</t>
  </si>
  <si>
    <t>Kurtosis SE†</t>
  </si>
  <si>
    <t>P.kurtosis</t>
  </si>
  <si>
    <t>FORUMULAE!!!  DO NOT ENTER VALUES IN THIS ROW --&gt;</t>
  </si>
  <si>
    <t>∞</t>
  </si>
  <si>
    <t>General instructions for use of this spreadsheet:</t>
  </si>
  <si>
    <t>Shaded areas in rows 4&amp;5 indicate columns or cells into which data are to be entered.</t>
  </si>
  <si>
    <t>NOTE: do NOT enter data into or alter the contents of row 9, as it contains the formulae.</t>
  </si>
  <si>
    <t>1) Enter group labelling info, MS &amp; df from ANOVA in columns 1 - 11</t>
  </si>
  <si>
    <t>2) Select the block of cells containing the formulae (row 9, cols. 13-26) and</t>
  </si>
  <si>
    <t xml:space="preserve">   extend the 'selected' region down to the bottow row containing your data.</t>
  </si>
  <si>
    <t>(Rev. 1200 May 15, 2002)</t>
  </si>
  <si>
    <r>
      <t>from Strobeck 8/2/96 (using symbols of Palmer &amp; Strobeck 1986):  var(R-L)= [2M</t>
    </r>
    <r>
      <rPr>
        <sz val="10"/>
        <rFont val="Symbol"/>
        <family val="1"/>
        <charset val="2"/>
      </rPr>
      <t>s</t>
    </r>
    <r>
      <rPr>
        <vertAlign val="subscript"/>
        <sz val="12"/>
        <rFont val="Geneva"/>
      </rPr>
      <t>i</t>
    </r>
    <r>
      <rPr>
        <vertAlign val="superscript"/>
        <sz val="12"/>
        <rFont val="Geneva"/>
      </rPr>
      <t>2</t>
    </r>
    <r>
      <rPr>
        <sz val="10"/>
        <rFont val="Geneva"/>
      </rPr>
      <t xml:space="preserve"> + 2M</t>
    </r>
    <r>
      <rPr>
        <sz val="10"/>
        <rFont val="Symbol"/>
        <family val="1"/>
        <charset val="2"/>
      </rPr>
      <t>s</t>
    </r>
    <r>
      <rPr>
        <vertAlign val="subscript"/>
        <sz val="12"/>
        <rFont val="Geneva"/>
      </rPr>
      <t>m</t>
    </r>
    <r>
      <rPr>
        <vertAlign val="superscript"/>
        <sz val="12"/>
        <rFont val="Geneva"/>
      </rPr>
      <t>2</t>
    </r>
    <r>
      <rPr>
        <sz val="10"/>
        <rFont val="Geneva"/>
      </rPr>
      <t>] / M</t>
    </r>
    <r>
      <rPr>
        <vertAlign val="superscript"/>
        <sz val="12"/>
        <rFont val="Geneva"/>
      </rPr>
      <t>2</t>
    </r>
    <r>
      <rPr>
        <sz val="10"/>
        <rFont val="Geneva"/>
      </rPr>
      <t xml:space="preserve"> = 2[</t>
    </r>
    <r>
      <rPr>
        <sz val="10"/>
        <rFont val="Tms Rmn"/>
      </rPr>
      <t>s</t>
    </r>
    <r>
      <rPr>
        <vertAlign val="subscript"/>
        <sz val="12"/>
        <rFont val="Geneva"/>
      </rPr>
      <t>i</t>
    </r>
    <r>
      <rPr>
        <vertAlign val="superscript"/>
        <sz val="12"/>
        <rFont val="Geneva"/>
      </rPr>
      <t>2</t>
    </r>
    <r>
      <rPr>
        <sz val="10"/>
        <rFont val="Geneva"/>
      </rPr>
      <t xml:space="preserve"> + </t>
    </r>
    <r>
      <rPr>
        <sz val="10"/>
        <rFont val="Symbol"/>
        <family val="1"/>
        <charset val="2"/>
      </rPr>
      <t>s</t>
    </r>
    <r>
      <rPr>
        <vertAlign val="subscript"/>
        <sz val="12"/>
        <rFont val="Geneva"/>
      </rPr>
      <t>m</t>
    </r>
    <r>
      <rPr>
        <vertAlign val="superscript"/>
        <sz val="12"/>
        <rFont val="Geneva"/>
      </rPr>
      <t>2</t>
    </r>
    <r>
      <rPr>
        <sz val="10"/>
        <rFont val="Geneva"/>
      </rPr>
      <t>]/M</t>
    </r>
  </si>
  <si>
    <t>† Computed using eq. 6 of Palmer &amp; Strobeck 2003; some statistics packages use a different eq. (see Table 5 of Palmer &amp; Strobeck 2003)</t>
  </si>
  <si>
    <t xml:space="preserve">   (this copies the relevant formulae into all the rows containing data).</t>
  </si>
  <si>
    <t xml:space="preserve">   This will yield the correct P values for directional asymmetry,</t>
  </si>
  <si>
    <t xml:space="preserve">   but only yields *approximate* P values for skew &amp; kurtosis.</t>
  </si>
  <si>
    <t xml:space="preserve">   To obtain more exact P values, see Table 5 of Palmer &amp; Strobeck 2003.</t>
  </si>
  <si>
    <t>REFERENCES</t>
  </si>
  <si>
    <t xml:space="preserve">Palmer, A. R., and C. Strobeck. 1986. Fluctuating asymmetry: measurement, analysis, patterns. </t>
  </si>
  <si>
    <t xml:space="preserve">     Annu. Rev. Ecol. Syst. 17: 391-421.</t>
  </si>
  <si>
    <t>Palmer, A. R. 1994. Fluctuating asymmetry analyses:  A primer.</t>
  </si>
  <si>
    <t xml:space="preserve">   Pp. 335-364 in Developmental Instability:  Its Origins and Evolutionary Implications,</t>
  </si>
  <si>
    <t xml:space="preserve">   T. A. Markow, ed. Kluwer, Dordrecht, Netherlands.</t>
  </si>
  <si>
    <t>Palmer, A. R., and C. Strobeck. 2003. Fluctuating asymmetry analyses revisited.</t>
  </si>
  <si>
    <t xml:space="preserve">  M. Polak, ed. Oxford University Press, Oxford.</t>
  </si>
  <si>
    <t xml:space="preserve">   In Press, in Developmental Instability (DI): Causes and Consequences, </t>
  </si>
  <si>
    <r>
      <t xml:space="preserve">   </t>
    </r>
    <r>
      <rPr>
        <b/>
        <sz val="10"/>
        <rFont val="Geneva"/>
      </rPr>
      <t>IMPORTANT:</t>
    </r>
    <r>
      <rPr>
        <sz val="10"/>
        <rFont val="Geneva"/>
      </rPr>
      <t xml:space="preserve">  prior to any Sequential Bonferroni analysis, you must enter the desired</t>
    </r>
  </si>
  <si>
    <t>3) Select 'Fill down' from the 'Edit' menu</t>
  </si>
  <si>
    <t xml:space="preserve">   This will yield the correct P values for Sides (=DA), Individuals, &amp; S X I interaction (e.g., FA)</t>
  </si>
  <si>
    <t xml:space="preserve">   based on the analysis outlined in Palmer &amp; Strobeck (1986 Ann. Rev. Ecol. Syst.)</t>
  </si>
  <si>
    <t xml:space="preserve">   It will also compute the 'error-corrected' between-sides variance (e.g., FA; col. 25)</t>
  </si>
  <si>
    <t xml:space="preserve">   as well as the approximate degrees of freedom for this estimate.</t>
  </si>
  <si>
    <t>4) Enter descriptive data from other sources into columns 30-36</t>
  </si>
  <si>
    <t xml:space="preserve">   to include a complete description of bilateral variation.</t>
  </si>
  <si>
    <t>5) Select the block of cells containing the formulae (row 9, cols. 38-64) and</t>
  </si>
  <si>
    <t xml:space="preserve">   extend the 'selected' region down to the bottow row containing your data</t>
  </si>
  <si>
    <t>6) Select 'Fill down' from the 'Edit' menu</t>
  </si>
  <si>
    <t>7) To conduct the Sequential Bonferroni automatically at various places throughout the spreadsheet</t>
  </si>
  <si>
    <r>
      <t>var(=</t>
    </r>
    <r>
      <rPr>
        <sz val="10"/>
        <rFont val="Symbol"/>
        <family val="1"/>
        <charset val="2"/>
      </rPr>
      <t>s</t>
    </r>
    <r>
      <rPr>
        <vertAlign val="subscript"/>
        <sz val="12"/>
        <rFont val="Geneva"/>
      </rPr>
      <t>I</t>
    </r>
    <r>
      <rPr>
        <vertAlign val="superscript"/>
        <sz val="12"/>
        <rFont val="Geneva"/>
      </rPr>
      <t>2</t>
    </r>
    <r>
      <rPr>
        <sz val="10"/>
        <rFont val="Geneva"/>
      </rPr>
      <t>)</t>
    </r>
  </si>
  <si>
    <r>
      <t>(=</t>
    </r>
    <r>
      <rPr>
        <sz val="10"/>
        <rFont val="Symbol"/>
        <family val="1"/>
        <charset val="2"/>
      </rPr>
      <t>s</t>
    </r>
    <r>
      <rPr>
        <vertAlign val="subscript"/>
        <sz val="12"/>
        <rFont val="Geneva"/>
      </rPr>
      <t>m</t>
    </r>
    <r>
      <rPr>
        <vertAlign val="superscript"/>
        <sz val="12"/>
        <rFont val="Geneva"/>
      </rPr>
      <t>2</t>
    </r>
    <r>
      <rPr>
        <sz val="10"/>
        <rFont val="Geneva"/>
      </rPr>
      <t>)</t>
    </r>
  </si>
  <si>
    <t xml:space="preserve">   Sokal &amp; Rohlf'81 (only reliable for N&gt;200;</t>
  </si>
  <si>
    <t xml:space="preserve">   for smaller N, see Palmer &amp; Strobeck 2003,</t>
  </si>
  <si>
    <t xml:space="preserve">   Table 5, for proper critical values)</t>
  </si>
  <si>
    <t>Kurtosis†</t>
  </si>
  <si>
    <t>FLUCTUATING ASYMMETRY CALCULATIONS WORKSHEET (Ver.11)</t>
  </si>
  <si>
    <t>(by A.R. Palmer from procedures outlined in Strobeck &amp; Palmer 1986, 2003, and Palmer 1994)</t>
  </si>
  <si>
    <t xml:space="preserve">   ALL the rows of data must be sorted from lowest to highest P value in a given column.</t>
  </si>
  <si>
    <t xml:space="preserve">   So, as an example with the sample data above, sort rows 10 - 13 based on column 18 (observed P)</t>
  </si>
  <si>
    <t xml:space="preserve">   to determine if non-directional asymmetry (e.g., FA) is significantly greater than measurement error.</t>
  </si>
  <si>
    <t xml:space="preserve">   The significant P values AFTER Sequential Bonferroni will be indicated with an asterisk in col. 21.</t>
  </si>
  <si>
    <t xml:space="preserve">   Then, you would sort rows 10 - 13 based on columns 39 (for DA), 50 (for skew), &amp; 61 (for kurtosis).</t>
  </si>
  <si>
    <t xml:space="preserve">   The significant P values AFTER Sequential Bonferroni will be indicated with </t>
  </si>
  <si>
    <t xml:space="preserve">   an asterisk in columns 42, 53, and 64 respectively</t>
  </si>
  <si>
    <t xml:space="preserve">   (rows 10 - 13 must be sorted by each column separately to obtain the correct </t>
  </si>
  <si>
    <t xml:space="preserve">   test result for each column of P values).</t>
  </si>
  <si>
    <t xml:space="preserve">   table-wide alpha (row 4, col. 7), the number of P values (row 4, col. 9) </t>
  </si>
  <si>
    <t xml:space="preserve">   and the starting row of data (row 4, col. 10).</t>
  </si>
  <si>
    <t>Sequential Bonferroni correction</t>
  </si>
  <si>
    <t>recall:  var(x-y)= var(x)+var(y)-2cov(x,y)</t>
  </si>
  <si>
    <t xml:space="preserve"> (from Rice 1989)</t>
  </si>
  <si>
    <t>recall:  var(x+y)= var(x)+var(y)+2cov(x,y)</t>
  </si>
  <si>
    <t>For Sequential Bonferroni, ENTER:</t>
  </si>
  <si>
    <t>table-wide alpha:</t>
  </si>
  <si>
    <t># tests:</t>
  </si>
  <si>
    <t>1st data row</t>
  </si>
  <si>
    <t xml:space="preserve">(MUST rank P from lo-&gt;hi FIRST, </t>
  </si>
  <si>
    <t>† VERY conservative, symmetrical SE from</t>
  </si>
  <si>
    <t xml:space="preserve">   ENTER FROM FA10 ANOVA (sides x individuals) RESULTS:</t>
  </si>
  <si>
    <t>* tested over interaction MS, NOT over error MS</t>
  </si>
  <si>
    <t>AND enter proper alpha &amp;</t>
  </si>
  <si>
    <t>*= signific.</t>
  </si>
  <si>
    <t>OBSERVED FA10 (fr ANOVA)</t>
  </si>
  <si>
    <t>Enter from Descriptive Statistics file:</t>
  </si>
  <si>
    <t>negative skew= skew to left</t>
  </si>
  <si>
    <t>negative kurtosis= platykurtosis</t>
  </si>
  <si>
    <t>* =1 if bilateral</t>
  </si>
  <si>
    <t>Mixed-Model Significance levels</t>
  </si>
  <si>
    <t>#tests in row 4, cols 7 &amp; 9)</t>
  </si>
  <si>
    <t>Meas. Err.</t>
  </si>
  <si>
    <t># of replicate</t>
  </si>
  <si>
    <t>(non-direct. asym. variance</t>
  </si>
  <si>
    <t>positive skew= skew to right</t>
  </si>
  <si>
    <t>positive kurtosis= leptokurtosis</t>
  </si>
  <si>
    <t>Sides (S)</t>
  </si>
  <si>
    <t>Individuals (I)</t>
  </si>
  <si>
    <t>S x I Interaction</t>
  </si>
  <si>
    <t>Measurement Error</t>
  </si>
  <si>
    <t>Sides=DA*</t>
  </si>
  <si>
    <t>Individuals*</t>
  </si>
  <si>
    <t>FA&gt;Meas.Err.</t>
  </si>
  <si>
    <t>Bonferroni</t>
  </si>
  <si>
    <t>MNM1</t>
  </si>
  <si>
    <t>MNM2</t>
  </si>
  <si>
    <t>MNM3</t>
  </si>
  <si>
    <t>MNP4</t>
  </si>
  <si>
    <t>MXM1</t>
  </si>
  <si>
    <t>MXM2</t>
  </si>
  <si>
    <t>MXM3</t>
  </si>
  <si>
    <t>MXP3</t>
  </si>
  <si>
    <t>MXP4</t>
  </si>
  <si>
    <t>fembreadth</t>
  </si>
  <si>
    <t>femlength</t>
  </si>
  <si>
    <t>malebreadth</t>
  </si>
  <si>
    <t>malelength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</si>
</sst>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"/>
    <numFmt numFmtId="165" formatCode="0.000000"/>
    <numFmt numFmtId="166" formatCode="0.0"/>
    <numFmt numFmtId="167" formatCode="0.00000"/>
    <numFmt numFmtId="168" formatCode="0.000"/>
  </numFmts>
  <fonts count="10">
    <font>
      <sz val="10"/>
      <name val="Geneva"/>
    </font>
    <font>
      <b/>
      <sz val="10"/>
      <name val="Geneva"/>
    </font>
    <font>
      <sz val="10"/>
      <name val="Geneva"/>
    </font>
    <font>
      <vertAlign val="subscript"/>
      <sz val="12"/>
      <name val="Geneva"/>
    </font>
    <font>
      <sz val="10"/>
      <name val="Symbol"/>
      <family val="1"/>
      <charset val="2"/>
    </font>
    <font>
      <vertAlign val="superscript"/>
      <sz val="12"/>
      <name val="Geneva"/>
    </font>
    <font>
      <sz val="10"/>
      <name val="Tms Rmn"/>
    </font>
    <font>
      <b/>
      <sz val="10"/>
      <color indexed="10"/>
      <name val="Geneva"/>
    </font>
    <font>
      <sz val="10"/>
      <color indexed="10"/>
      <name val="Geneva"/>
    </font>
    <font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gray125">
        <bgColor indexed="43"/>
      </patternFill>
    </fill>
    <fill>
      <patternFill patternType="solid">
        <fgColor indexed="4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5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/>
    <xf numFmtId="0" fontId="0" fillId="0" borderId="6" xfId="0" applyBorder="1" applyAlignment="1">
      <alignment horizontal="center"/>
    </xf>
    <xf numFmtId="0" fontId="0" fillId="0" borderId="3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8" xfId="0" applyBorder="1" applyAlignment="1">
      <alignment horizontal="centerContinuous"/>
    </xf>
    <xf numFmtId="0" fontId="0" fillId="0" borderId="7" xfId="0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3" xfId="0" applyBorder="1" applyAlignment="1">
      <alignment horizontal="centerContinuous"/>
    </xf>
    <xf numFmtId="0" fontId="0" fillId="0" borderId="6" xfId="0" applyBorder="1"/>
    <xf numFmtId="0" fontId="0" fillId="0" borderId="6" xfId="0" applyBorder="1" applyAlignment="1">
      <alignment horizontal="centerContinuous"/>
    </xf>
    <xf numFmtId="166" fontId="0" fillId="0" borderId="0" xfId="0" applyNumberFormat="1"/>
    <xf numFmtId="2" fontId="0" fillId="0" borderId="3" xfId="0" applyNumberFormat="1" applyBorder="1" applyAlignment="1">
      <alignment horizontal="centerContinuous"/>
    </xf>
    <xf numFmtId="0" fontId="0" fillId="0" borderId="9" xfId="0" applyBorder="1" applyAlignment="1">
      <alignment horizontal="centerContinuous"/>
    </xf>
    <xf numFmtId="2" fontId="0" fillId="0" borderId="10" xfId="0" applyNumberFormat="1" applyBorder="1" applyAlignment="1">
      <alignment horizontal="centerContinuous"/>
    </xf>
    <xf numFmtId="2" fontId="0" fillId="0" borderId="5" xfId="0" applyNumberFormat="1" applyBorder="1" applyAlignment="1">
      <alignment horizontal="center"/>
    </xf>
    <xf numFmtId="0" fontId="0" fillId="0" borderId="4" xfId="0" applyBorder="1" applyAlignment="1">
      <alignment horizontal="centerContinuous"/>
    </xf>
    <xf numFmtId="2" fontId="0" fillId="0" borderId="5" xfId="0" applyNumberFormat="1" applyBorder="1" applyAlignment="1">
      <alignment horizontal="centerContinuous"/>
    </xf>
    <xf numFmtId="166" fontId="0" fillId="0" borderId="11" xfId="0" applyNumberFormat="1" applyBorder="1" applyAlignment="1">
      <alignment horizontal="center"/>
    </xf>
    <xf numFmtId="166" fontId="0" fillId="0" borderId="12" xfId="0" applyNumberFormat="1" applyBorder="1" applyAlignment="1">
      <alignment horizontal="center"/>
    </xf>
    <xf numFmtId="166" fontId="0" fillId="0" borderId="13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14" xfId="0" applyBorder="1" applyAlignment="1">
      <alignment horizontal="center"/>
    </xf>
    <xf numFmtId="2" fontId="0" fillId="0" borderId="0" xfId="0" applyNumberFormat="1"/>
    <xf numFmtId="2" fontId="0" fillId="0" borderId="6" xfId="0" applyNumberFormat="1" applyBorder="1" applyAlignment="1">
      <alignment horizontal="centerContinuous"/>
    </xf>
    <xf numFmtId="2" fontId="0" fillId="0" borderId="2" xfId="0" applyNumberFormat="1" applyBorder="1" applyAlignment="1">
      <alignment horizontal="centerContinuous"/>
    </xf>
    <xf numFmtId="2" fontId="1" fillId="0" borderId="2" xfId="0" applyNumberFormat="1" applyFont="1" applyBorder="1" applyAlignment="1">
      <alignment horizontal="centerContinuous"/>
    </xf>
    <xf numFmtId="168" fontId="0" fillId="0" borderId="0" xfId="0" applyNumberFormat="1"/>
    <xf numFmtId="168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2" fontId="0" fillId="0" borderId="11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14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165" fontId="0" fillId="0" borderId="14" xfId="0" applyNumberFormat="1" applyBorder="1" applyAlignment="1">
      <alignment horizontal="center"/>
    </xf>
    <xf numFmtId="167" fontId="0" fillId="0" borderId="0" xfId="0" applyNumberFormat="1"/>
    <xf numFmtId="167" fontId="0" fillId="0" borderId="5" xfId="0" applyNumberFormat="1" applyBorder="1" applyAlignment="1">
      <alignment horizontal="center"/>
    </xf>
    <xf numFmtId="167" fontId="0" fillId="0" borderId="3" xfId="0" applyNumberFormat="1" applyBorder="1" applyAlignment="1">
      <alignment horizontal="center"/>
    </xf>
    <xf numFmtId="168" fontId="0" fillId="0" borderId="8" xfId="0" applyNumberFormat="1" applyBorder="1"/>
    <xf numFmtId="167" fontId="0" fillId="0" borderId="7" xfId="0" applyNumberFormat="1" applyBorder="1"/>
    <xf numFmtId="167" fontId="0" fillId="0" borderId="0" xfId="0" applyNumberFormat="1" applyAlignment="1">
      <alignment horizontal="center"/>
    </xf>
    <xf numFmtId="167" fontId="0" fillId="0" borderId="2" xfId="0" applyNumberFormat="1" applyBorder="1" applyAlignment="1">
      <alignment horizontal="centerContinuous"/>
    </xf>
    <xf numFmtId="167" fontId="0" fillId="0" borderId="3" xfId="0" applyNumberFormat="1" applyBorder="1" applyAlignment="1">
      <alignment horizontal="centerContinuous"/>
    </xf>
    <xf numFmtId="167" fontId="0" fillId="0" borderId="11" xfId="0" applyNumberFormat="1" applyBorder="1" applyAlignment="1">
      <alignment horizontal="center"/>
    </xf>
    <xf numFmtId="167" fontId="0" fillId="0" borderId="12" xfId="0" applyNumberFormat="1" applyBorder="1" applyAlignment="1">
      <alignment horizontal="center"/>
    </xf>
    <xf numFmtId="0" fontId="0" fillId="0" borderId="5" xfId="0" applyBorder="1" applyAlignment="1">
      <alignment horizontal="centerContinuous"/>
    </xf>
    <xf numFmtId="1" fontId="0" fillId="0" borderId="0" xfId="0" applyNumberFormat="1" applyAlignment="1">
      <alignment horizontal="center"/>
    </xf>
    <xf numFmtId="0" fontId="0" fillId="0" borderId="15" xfId="0" applyBorder="1" applyAlignment="1">
      <alignment horizontal="center"/>
    </xf>
    <xf numFmtId="1" fontId="0" fillId="0" borderId="11" xfId="0" applyNumberFormat="1" applyBorder="1" applyAlignment="1">
      <alignment horizontal="center"/>
    </xf>
    <xf numFmtId="167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3" xfId="0" applyNumberFormat="1" applyBorder="1" applyAlignment="1">
      <alignment horizontal="centerContinuous"/>
    </xf>
    <xf numFmtId="1" fontId="0" fillId="0" borderId="5" xfId="0" applyNumberFormat="1" applyBorder="1" applyAlignment="1">
      <alignment horizontal="centerContinuous"/>
    </xf>
    <xf numFmtId="1" fontId="0" fillId="0" borderId="12" xfId="0" applyNumberFormat="1" applyBorder="1" applyAlignment="1">
      <alignment horizontal="center"/>
    </xf>
    <xf numFmtId="167" fontId="0" fillId="0" borderId="4" xfId="0" applyNumberFormat="1" applyBorder="1" applyAlignment="1">
      <alignment horizontal="centerContinuous"/>
    </xf>
    <xf numFmtId="167" fontId="0" fillId="0" borderId="5" xfId="0" applyNumberFormat="1" applyBorder="1" applyAlignment="1">
      <alignment horizontal="centerContinuous"/>
    </xf>
    <xf numFmtId="0" fontId="1" fillId="2" borderId="16" xfId="0" applyFont="1" applyFill="1" applyBorder="1"/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 applyAlignment="1">
      <alignment horizontal="left"/>
    </xf>
    <xf numFmtId="0" fontId="0" fillId="2" borderId="0" xfId="0" applyFill="1"/>
    <xf numFmtId="0" fontId="0" fillId="2" borderId="20" xfId="0" applyFill="1" applyBorder="1"/>
    <xf numFmtId="0" fontId="0" fillId="2" borderId="19" xfId="0" applyFill="1" applyBorder="1"/>
    <xf numFmtId="0" fontId="0" fillId="2" borderId="21" xfId="0" applyFill="1" applyBorder="1" applyAlignment="1">
      <alignment horizontal="left"/>
    </xf>
    <xf numFmtId="0" fontId="0" fillId="2" borderId="22" xfId="0" applyFill="1" applyBorder="1"/>
    <xf numFmtId="0" fontId="0" fillId="2" borderId="23" xfId="0" applyFill="1" applyBorder="1"/>
    <xf numFmtId="0" fontId="0" fillId="2" borderId="17" xfId="0" applyFill="1" applyBorder="1" applyAlignment="1">
      <alignment horizontal="right"/>
    </xf>
    <xf numFmtId="0" fontId="0" fillId="3" borderId="24" xfId="0" applyFill="1" applyBorder="1" applyAlignment="1">
      <alignment horizontal="left"/>
    </xf>
    <xf numFmtId="0" fontId="0" fillId="2" borderId="25" xfId="0" applyFill="1" applyBorder="1"/>
    <xf numFmtId="0" fontId="0" fillId="3" borderId="25" xfId="0" applyFill="1" applyBorder="1"/>
    <xf numFmtId="0" fontId="0" fillId="3" borderId="26" xfId="0" applyFill="1" applyBorder="1"/>
    <xf numFmtId="0" fontId="0" fillId="3" borderId="17" xfId="0" applyFill="1" applyBorder="1" applyAlignment="1">
      <alignment horizontal="left"/>
    </xf>
    <xf numFmtId="0" fontId="2" fillId="2" borderId="17" xfId="0" applyFont="1" applyFill="1" applyBorder="1" applyAlignment="1">
      <alignment horizontal="left"/>
    </xf>
    <xf numFmtId="0" fontId="1" fillId="2" borderId="17" xfId="0" applyFont="1" applyFill="1" applyBorder="1"/>
    <xf numFmtId="0" fontId="0" fillId="3" borderId="25" xfId="0" applyFill="1" applyBorder="1" applyAlignment="1">
      <alignment horizontal="left"/>
    </xf>
    <xf numFmtId="0" fontId="0" fillId="2" borderId="25" xfId="0" applyFill="1" applyBorder="1" applyAlignment="1">
      <alignment horizontal="left"/>
    </xf>
    <xf numFmtId="168" fontId="0" fillId="3" borderId="25" xfId="0" applyNumberFormat="1" applyFill="1" applyBorder="1"/>
    <xf numFmtId="168" fontId="0" fillId="3" borderId="26" xfId="0" applyNumberFormat="1" applyFill="1" applyBorder="1"/>
    <xf numFmtId="0" fontId="7" fillId="0" borderId="0" xfId="0" applyFont="1" applyAlignment="1">
      <alignment horizontal="left"/>
    </xf>
    <xf numFmtId="0" fontId="0" fillId="4" borderId="9" xfId="0" applyFill="1" applyBorder="1" applyAlignment="1">
      <alignment horizontal="left"/>
    </xf>
    <xf numFmtId="1" fontId="0" fillId="4" borderId="10" xfId="0" applyNumberFormat="1" applyFill="1" applyBorder="1" applyAlignment="1">
      <alignment horizontal="centerContinuous"/>
    </xf>
    <xf numFmtId="167" fontId="0" fillId="4" borderId="9" xfId="0" applyNumberFormat="1" applyFill="1" applyBorder="1" applyAlignment="1">
      <alignment horizontal="left"/>
    </xf>
    <xf numFmtId="1" fontId="0" fillId="4" borderId="0" xfId="0" applyNumberFormat="1" applyFill="1" applyAlignment="1">
      <alignment horizontal="center"/>
    </xf>
    <xf numFmtId="0" fontId="0" fillId="4" borderId="0" xfId="0" applyFill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0" applyFont="1"/>
    <xf numFmtId="2" fontId="8" fillId="0" borderId="0" xfId="0" applyNumberFormat="1" applyFont="1"/>
    <xf numFmtId="167" fontId="8" fillId="0" borderId="0" xfId="0" applyNumberFormat="1" applyFont="1"/>
    <xf numFmtId="1" fontId="8" fillId="0" borderId="0" xfId="0" applyNumberFormat="1" applyFont="1" applyAlignment="1">
      <alignment horizontal="center"/>
    </xf>
    <xf numFmtId="167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168" fontId="8" fillId="0" borderId="0" xfId="0" applyNumberFormat="1" applyFont="1"/>
    <xf numFmtId="164" fontId="8" fillId="0" borderId="0" xfId="0" applyNumberFormat="1" applyFont="1"/>
    <xf numFmtId="0" fontId="0" fillId="0" borderId="0" xfId="0" applyAlignment="1">
      <alignment horizontal="right"/>
    </xf>
    <xf numFmtId="0" fontId="0" fillId="2" borderId="0" xfId="0" applyFill="1" applyAlignment="1">
      <alignment horizontal="left"/>
    </xf>
    <xf numFmtId="0" fontId="1" fillId="2" borderId="27" xfId="0" applyFont="1" applyFill="1" applyBorder="1" applyAlignment="1">
      <alignment horizontal="left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73"/>
  <sheetViews>
    <sheetView topLeftCell="W1" zoomScale="70" zoomScaleNormal="70" workbookViewId="0">
      <selection activeCell="AF15" sqref="AF15"/>
    </sheetView>
  </sheetViews>
  <sheetFormatPr defaultColWidth="12.42578125" defaultRowHeight="12.75"/>
  <cols>
    <col min="1" max="1" width="11.42578125" style="11" customWidth="1"/>
    <col min="2" max="2" width="9.7109375" customWidth="1"/>
    <col min="3" max="3" width="0.42578125" customWidth="1"/>
    <col min="4" max="4" width="8" customWidth="1"/>
    <col min="5" max="5" width="3.85546875" customWidth="1"/>
    <col min="6" max="6" width="8" customWidth="1"/>
    <col min="7" max="7" width="4.85546875" customWidth="1"/>
    <col min="8" max="8" width="8" customWidth="1"/>
    <col min="9" max="9" width="4.28515625" customWidth="1"/>
    <col min="10" max="10" width="9.140625" customWidth="1"/>
    <col min="11" max="11" width="4.28515625" customWidth="1"/>
    <col min="12" max="12" width="0.42578125" customWidth="1"/>
    <col min="13" max="13" width="7.7109375" style="38" customWidth="1"/>
    <col min="14" max="14" width="7.7109375" customWidth="1"/>
    <col min="15" max="15" width="7.7109375" style="38" customWidth="1"/>
    <col min="16" max="16" width="7.7109375" customWidth="1"/>
    <col min="17" max="17" width="7.7109375" style="38" customWidth="1"/>
    <col min="18" max="18" width="7.7109375" customWidth="1"/>
    <col min="19" max="19" width="10.28515625" style="53" customWidth="1"/>
    <col min="20" max="20" width="10.28515625" style="64" customWidth="1"/>
    <col min="21" max="21" width="9.42578125" style="58" customWidth="1"/>
    <col min="22" max="22" width="9.7109375" style="38" customWidth="1"/>
    <col min="23" max="23" width="0.42578125" customWidth="1"/>
    <col min="24" max="24" width="10.7109375" style="23" customWidth="1"/>
    <col min="25" max="25" width="10.42578125" style="6" customWidth="1"/>
    <col min="26" max="26" width="10.7109375" style="3" customWidth="1"/>
    <col min="27" max="27" width="0.42578125" customWidth="1"/>
    <col min="28" max="28" width="12.140625" style="11" customWidth="1"/>
    <col min="29" max="29" width="7" style="11" customWidth="1"/>
    <col min="30" max="30" width="11.7109375" customWidth="1"/>
    <col min="31" max="31" width="10" customWidth="1"/>
    <col min="32" max="32" width="8.85546875" customWidth="1"/>
    <col min="33" max="33" width="7.42578125" customWidth="1"/>
    <col min="34" max="34" width="6.42578125" style="2" customWidth="1"/>
    <col min="35" max="35" width="7.28515625" style="42" customWidth="1"/>
    <col min="36" max="36" width="7.85546875" style="42" customWidth="1"/>
    <col min="37" max="37" width="0.5703125" style="42" customWidth="1"/>
    <col min="38" max="38" width="10.7109375" style="42" customWidth="1"/>
    <col min="39" max="39" width="10.7109375" style="53" customWidth="1"/>
    <col min="40" max="40" width="9.85546875" style="53" customWidth="1"/>
    <col min="41" max="41" width="10.28515625" style="64" customWidth="1"/>
    <col min="42" max="42" width="9.42578125" style="58" customWidth="1"/>
    <col min="43" max="43" width="0.5703125" customWidth="1"/>
    <col min="44" max="44" width="12.42578125" customWidth="1"/>
    <col min="45" max="45" width="4.28515625" customWidth="1"/>
    <col min="46" max="46" width="9.140625" customWidth="1"/>
    <col min="47" max="48" width="9" customWidth="1"/>
    <col min="49" max="49" width="5.85546875" customWidth="1"/>
    <col min="50" max="50" width="8.7109375" style="53" customWidth="1"/>
    <col min="51" max="51" width="9.85546875" style="53" customWidth="1"/>
    <col min="52" max="52" width="10.28515625" style="64" customWidth="1"/>
    <col min="53" max="53" width="9.42578125" style="58" customWidth="1"/>
    <col min="54" max="54" width="0.42578125" customWidth="1"/>
    <col min="55" max="55" width="12.42578125" customWidth="1"/>
    <col min="56" max="56" width="5.28515625" customWidth="1"/>
    <col min="57" max="58" width="12.42578125" customWidth="1"/>
    <col min="59" max="59" width="9.5703125" customWidth="1"/>
    <col min="60" max="60" width="6.42578125" customWidth="1"/>
    <col min="61" max="61" width="9.5703125" customWidth="1"/>
    <col min="62" max="62" width="9.85546875" style="53" customWidth="1"/>
    <col min="63" max="63" width="10.140625" style="64" customWidth="1"/>
    <col min="64" max="64" width="9.42578125" style="58" customWidth="1"/>
    <col min="65" max="65" width="0.42578125" customWidth="1"/>
  </cols>
  <sheetData>
    <row r="1" spans="1:64">
      <c r="A1" s="44" t="s">
        <v>75</v>
      </c>
      <c r="K1" s="114" t="s">
        <v>41</v>
      </c>
      <c r="AB1" s="11" t="s">
        <v>89</v>
      </c>
    </row>
    <row r="2" spans="1:64">
      <c r="A2" s="45" t="s">
        <v>76</v>
      </c>
      <c r="B2" s="1"/>
      <c r="C2" s="1"/>
      <c r="K2" s="114"/>
      <c r="S2" s="59" t="s">
        <v>88</v>
      </c>
      <c r="T2" s="69"/>
      <c r="U2" s="60"/>
      <c r="Y2"/>
      <c r="AB2" s="11" t="s">
        <v>91</v>
      </c>
      <c r="AN2" s="59" t="s">
        <v>88</v>
      </c>
      <c r="AO2" s="69"/>
      <c r="AP2" s="60"/>
      <c r="AY2" s="59" t="s">
        <v>88</v>
      </c>
      <c r="AZ2" s="69"/>
      <c r="BA2" s="60"/>
      <c r="BJ2" s="59" t="s">
        <v>88</v>
      </c>
      <c r="BK2" s="69"/>
      <c r="BL2" s="60"/>
    </row>
    <row r="3" spans="1:64" ht="21" thickBot="1">
      <c r="A3"/>
      <c r="B3" s="1"/>
      <c r="C3" s="1"/>
      <c r="S3" s="72" t="s">
        <v>90</v>
      </c>
      <c r="T3" s="70"/>
      <c r="U3" s="73"/>
      <c r="Y3"/>
      <c r="AB3" s="11" t="s">
        <v>42</v>
      </c>
      <c r="AN3" s="72" t="s">
        <v>90</v>
      </c>
      <c r="AO3" s="70"/>
      <c r="AP3" s="73"/>
      <c r="AY3" s="72" t="s">
        <v>90</v>
      </c>
      <c r="AZ3" s="70"/>
      <c r="BA3" s="73"/>
      <c r="BF3" s="101" t="s">
        <v>97</v>
      </c>
      <c r="BG3" s="101"/>
      <c r="BH3" s="101"/>
      <c r="BI3" s="101"/>
      <c r="BJ3" s="72" t="s">
        <v>90</v>
      </c>
      <c r="BK3" s="70"/>
      <c r="BL3" s="73"/>
    </row>
    <row r="4" spans="1:64" ht="13.5" thickBot="1">
      <c r="A4" s="89"/>
      <c r="B4" s="90" t="s">
        <v>92</v>
      </c>
      <c r="C4" s="91"/>
      <c r="D4" s="75"/>
      <c r="E4" s="75"/>
      <c r="F4" s="84" t="s">
        <v>93</v>
      </c>
      <c r="G4" s="65">
        <v>0.05</v>
      </c>
      <c r="H4" s="84" t="s">
        <v>94</v>
      </c>
      <c r="I4" s="65">
        <v>9</v>
      </c>
      <c r="J4" s="84" t="s">
        <v>95</v>
      </c>
      <c r="K4" s="65">
        <v>10</v>
      </c>
      <c r="S4" s="97" t="s">
        <v>96</v>
      </c>
      <c r="T4" s="98"/>
      <c r="U4" s="63"/>
      <c r="Y4"/>
      <c r="AB4" s="11" t="s">
        <v>43</v>
      </c>
      <c r="AN4" s="97" t="s">
        <v>96</v>
      </c>
      <c r="AO4" s="98"/>
      <c r="AP4" s="63"/>
      <c r="AY4" s="97" t="s">
        <v>96</v>
      </c>
      <c r="AZ4" s="98"/>
      <c r="BA4" s="63"/>
      <c r="BF4" s="101" t="s">
        <v>71</v>
      </c>
      <c r="BG4" s="101"/>
      <c r="BH4" s="101"/>
      <c r="BI4" s="101"/>
      <c r="BJ4" s="97" t="s">
        <v>96</v>
      </c>
      <c r="BK4" s="98"/>
      <c r="BL4" s="63"/>
    </row>
    <row r="5" spans="1:64" ht="13.5" thickBot="1">
      <c r="A5" s="85"/>
      <c r="B5" s="86" t="s">
        <v>98</v>
      </c>
      <c r="C5" s="86"/>
      <c r="D5" s="86"/>
      <c r="E5" s="86"/>
      <c r="F5" s="86"/>
      <c r="G5" s="86"/>
      <c r="H5" s="87"/>
      <c r="I5" s="87"/>
      <c r="J5" s="87"/>
      <c r="K5" s="88"/>
      <c r="N5" t="s">
        <v>99</v>
      </c>
      <c r="Q5" s="3"/>
      <c r="R5" s="2"/>
      <c r="S5" s="99" t="s">
        <v>100</v>
      </c>
      <c r="T5" s="100"/>
      <c r="U5" s="66" t="s">
        <v>101</v>
      </c>
      <c r="V5" s="3"/>
      <c r="Y5" s="19" t="s">
        <v>102</v>
      </c>
      <c r="Z5" s="24"/>
      <c r="AB5" s="85"/>
      <c r="AC5" s="92"/>
      <c r="AD5" s="93" t="s">
        <v>103</v>
      </c>
      <c r="AE5" s="93"/>
      <c r="AF5" s="86"/>
      <c r="AG5" s="94"/>
      <c r="AH5" s="94"/>
      <c r="AI5" s="94"/>
      <c r="AJ5" s="95"/>
      <c r="AN5" s="99" t="s">
        <v>100</v>
      </c>
      <c r="AO5" s="100"/>
      <c r="AP5" s="66" t="s">
        <v>101</v>
      </c>
      <c r="AR5" s="12" t="s">
        <v>104</v>
      </c>
      <c r="AS5" s="21"/>
      <c r="AT5" s="14"/>
      <c r="AY5" s="99" t="s">
        <v>100</v>
      </c>
      <c r="AZ5" s="100"/>
      <c r="BA5" s="66" t="s">
        <v>101</v>
      </c>
      <c r="BC5" s="12" t="s">
        <v>105</v>
      </c>
      <c r="BD5" s="21"/>
      <c r="BE5" s="14"/>
      <c r="BF5" s="101" t="s">
        <v>72</v>
      </c>
      <c r="BG5" s="101"/>
      <c r="BH5" s="101"/>
      <c r="BI5" s="101"/>
      <c r="BJ5" s="99" t="s">
        <v>100</v>
      </c>
      <c r="BK5" s="100"/>
      <c r="BL5" s="66" t="s">
        <v>101</v>
      </c>
    </row>
    <row r="6" spans="1:64" ht="20.25">
      <c r="D6" s="2" t="s">
        <v>106</v>
      </c>
      <c r="J6" s="52" t="s">
        <v>70</v>
      </c>
      <c r="M6" s="41" t="s">
        <v>107</v>
      </c>
      <c r="N6" s="22"/>
      <c r="O6" s="39"/>
      <c r="P6" s="22"/>
      <c r="Q6" s="39"/>
      <c r="R6" s="20"/>
      <c r="S6" s="99" t="s">
        <v>108</v>
      </c>
      <c r="T6" s="100"/>
      <c r="U6" s="67" t="str">
        <f>"@table-wide"</f>
        <v>@table-wide</v>
      </c>
      <c r="V6" s="46" t="s">
        <v>109</v>
      </c>
      <c r="X6" s="30" t="s">
        <v>110</v>
      </c>
      <c r="Y6" s="25" t="s">
        <v>111</v>
      </c>
      <c r="Z6" s="26"/>
      <c r="AN6" s="99" t="s">
        <v>108</v>
      </c>
      <c r="AO6" s="100"/>
      <c r="AP6" s="67" t="str">
        <f>"@table-wide"</f>
        <v>@table-wide</v>
      </c>
      <c r="AR6" s="35" t="s">
        <v>112</v>
      </c>
      <c r="AS6" s="5"/>
      <c r="AT6" s="36"/>
      <c r="AY6" s="99" t="s">
        <v>108</v>
      </c>
      <c r="AZ6" s="100"/>
      <c r="BA6" s="67" t="str">
        <f>"@table-wide"</f>
        <v>@table-wide</v>
      </c>
      <c r="BC6" s="35" t="s">
        <v>113</v>
      </c>
      <c r="BD6" s="5"/>
      <c r="BE6" s="36"/>
      <c r="BF6" s="101" t="s">
        <v>73</v>
      </c>
      <c r="BG6" s="101"/>
      <c r="BH6" s="101"/>
      <c r="BI6" s="101"/>
      <c r="BJ6" s="99" t="s">
        <v>108</v>
      </c>
      <c r="BK6" s="100"/>
      <c r="BL6" s="67" t="str">
        <f>"@table-wide"</f>
        <v>@table-wide</v>
      </c>
    </row>
    <row r="7" spans="1:64">
      <c r="B7" s="2"/>
      <c r="C7" s="2"/>
      <c r="D7" s="17" t="s">
        <v>114</v>
      </c>
      <c r="E7" s="18"/>
      <c r="F7" s="17" t="s">
        <v>115</v>
      </c>
      <c r="G7" s="18"/>
      <c r="H7" s="17" t="s">
        <v>116</v>
      </c>
      <c r="I7" s="18"/>
      <c r="J7" s="16" t="s">
        <v>117</v>
      </c>
      <c r="K7" s="15"/>
      <c r="M7" s="40" t="s">
        <v>118</v>
      </c>
      <c r="N7" s="20"/>
      <c r="O7" s="40" t="s">
        <v>119</v>
      </c>
      <c r="P7" s="20"/>
      <c r="Q7" s="40" t="s">
        <v>120</v>
      </c>
      <c r="R7" s="20"/>
      <c r="S7" s="61" t="s">
        <v>121</v>
      </c>
      <c r="T7" s="66" t="s">
        <v>0</v>
      </c>
      <c r="U7" s="68" t="s">
        <v>1</v>
      </c>
      <c r="V7" s="47" t="s">
        <v>2</v>
      </c>
      <c r="X7" s="32" t="s">
        <v>3</v>
      </c>
      <c r="Y7" s="28" t="s">
        <v>4</v>
      </c>
      <c r="Z7" s="29"/>
      <c r="AA7" s="2"/>
      <c r="AF7" s="2"/>
      <c r="AL7" s="56" t="s">
        <v>5</v>
      </c>
      <c r="AM7" s="57"/>
      <c r="AN7" s="61" t="s">
        <v>121</v>
      </c>
      <c r="AO7" s="66" t="s">
        <v>0</v>
      </c>
      <c r="AP7" s="68" t="s">
        <v>1</v>
      </c>
      <c r="AR7" s="7" t="s">
        <v>6</v>
      </c>
      <c r="AS7" s="13"/>
      <c r="AT7" s="13" t="s">
        <v>7</v>
      </c>
      <c r="AU7" s="33"/>
      <c r="AV7" s="33"/>
      <c r="AW7" s="13"/>
      <c r="AX7" s="55"/>
      <c r="AY7" s="61" t="s">
        <v>121</v>
      </c>
      <c r="AZ7" s="66" t="s">
        <v>0</v>
      </c>
      <c r="BA7" s="68" t="s">
        <v>1</v>
      </c>
      <c r="BC7" s="7" t="s">
        <v>6</v>
      </c>
      <c r="BD7" s="13"/>
      <c r="BE7" s="13" t="s">
        <v>7</v>
      </c>
      <c r="BF7" s="33"/>
      <c r="BG7" s="33"/>
      <c r="BH7" s="13"/>
      <c r="BI7" s="8"/>
      <c r="BJ7" s="61" t="s">
        <v>121</v>
      </c>
      <c r="BK7" s="66" t="s">
        <v>0</v>
      </c>
      <c r="BL7" s="68" t="s">
        <v>1</v>
      </c>
    </row>
    <row r="8" spans="1:64" ht="20.25">
      <c r="A8" s="37" t="s">
        <v>8</v>
      </c>
      <c r="B8" s="37" t="s">
        <v>9</v>
      </c>
      <c r="C8" s="2"/>
      <c r="D8" s="37" t="s">
        <v>10</v>
      </c>
      <c r="E8" s="15" t="s">
        <v>11</v>
      </c>
      <c r="F8" s="37" t="s">
        <v>10</v>
      </c>
      <c r="G8" s="10" t="s">
        <v>12</v>
      </c>
      <c r="H8" s="37" t="s">
        <v>10</v>
      </c>
      <c r="I8" s="10" t="s">
        <v>12</v>
      </c>
      <c r="J8" s="37" t="s">
        <v>10</v>
      </c>
      <c r="K8" s="10" t="s">
        <v>12</v>
      </c>
      <c r="M8" s="51" t="s">
        <v>13</v>
      </c>
      <c r="N8" s="15" t="s">
        <v>14</v>
      </c>
      <c r="O8" s="51" t="s">
        <v>13</v>
      </c>
      <c r="P8" s="15" t="s">
        <v>14</v>
      </c>
      <c r="Q8" s="51" t="s">
        <v>13</v>
      </c>
      <c r="R8" s="15" t="s">
        <v>14</v>
      </c>
      <c r="S8" s="62" t="s">
        <v>15</v>
      </c>
      <c r="T8" s="71" t="s">
        <v>16</v>
      </c>
      <c r="U8" s="62">
        <f>$G$4</f>
        <v>0.05</v>
      </c>
      <c r="V8" s="48" t="s">
        <v>17</v>
      </c>
      <c r="X8" s="31" t="s">
        <v>18</v>
      </c>
      <c r="Y8" s="52" t="s">
        <v>69</v>
      </c>
      <c r="Z8" s="27" t="s">
        <v>19</v>
      </c>
      <c r="AA8" s="4"/>
      <c r="AB8" s="4" t="s">
        <v>8</v>
      </c>
      <c r="AC8" s="4" t="s">
        <v>9</v>
      </c>
      <c r="AD8" s="4" t="s">
        <v>20</v>
      </c>
      <c r="AE8" s="4" t="s">
        <v>21</v>
      </c>
      <c r="AF8" s="4" t="s">
        <v>22</v>
      </c>
      <c r="AG8" s="4" t="s">
        <v>23</v>
      </c>
      <c r="AH8" s="4" t="s">
        <v>24</v>
      </c>
      <c r="AI8" s="43" t="s">
        <v>25</v>
      </c>
      <c r="AJ8" s="43" t="s">
        <v>74</v>
      </c>
      <c r="AK8" s="49"/>
      <c r="AL8" s="50" t="s">
        <v>27</v>
      </c>
      <c r="AM8" s="54" t="s">
        <v>14</v>
      </c>
      <c r="AN8" s="62" t="s">
        <v>15</v>
      </c>
      <c r="AO8" s="71" t="s">
        <v>16</v>
      </c>
      <c r="AP8" s="62">
        <f>$G$4</f>
        <v>0.05</v>
      </c>
      <c r="AR8" s="9" t="s">
        <v>25</v>
      </c>
      <c r="AS8" s="4" t="s">
        <v>24</v>
      </c>
      <c r="AT8" s="4" t="s">
        <v>28</v>
      </c>
      <c r="AU8" s="34" t="s">
        <v>29</v>
      </c>
      <c r="AV8" s="34" t="s">
        <v>27</v>
      </c>
      <c r="AW8" s="4" t="s">
        <v>12</v>
      </c>
      <c r="AX8" s="54" t="s">
        <v>30</v>
      </c>
      <c r="AY8" s="62" t="s">
        <v>15</v>
      </c>
      <c r="AZ8" s="71" t="s">
        <v>16</v>
      </c>
      <c r="BA8" s="62">
        <f>$G$4</f>
        <v>0.05</v>
      </c>
      <c r="BC8" s="9" t="s">
        <v>26</v>
      </c>
      <c r="BD8" s="4" t="s">
        <v>24</v>
      </c>
      <c r="BE8" s="4" t="s">
        <v>28</v>
      </c>
      <c r="BF8" s="34" t="s">
        <v>31</v>
      </c>
      <c r="BG8" s="34" t="s">
        <v>27</v>
      </c>
      <c r="BH8" s="4" t="s">
        <v>12</v>
      </c>
      <c r="BI8" s="10" t="s">
        <v>32</v>
      </c>
      <c r="BJ8" s="62" t="s">
        <v>15</v>
      </c>
      <c r="BK8" s="71" t="s">
        <v>16</v>
      </c>
      <c r="BL8" s="62">
        <f>$G$4</f>
        <v>0.05</v>
      </c>
    </row>
    <row r="9" spans="1:64" s="104" customFormat="1">
      <c r="A9" s="96" t="s">
        <v>33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M9" s="105" t="e">
        <f t="shared" ref="M9:M18" si="0">$D9/$H9</f>
        <v>#DIV/0!</v>
      </c>
      <c r="N9" s="104" t="e">
        <f t="shared" ref="N9:N18" si="1">FDIST(M9,$E9,$I9)</f>
        <v>#DIV/0!</v>
      </c>
      <c r="O9" s="105" t="e">
        <f t="shared" ref="O9:O18" si="2">$F9/$H9</f>
        <v>#DIV/0!</v>
      </c>
      <c r="P9" s="104" t="e">
        <f t="shared" ref="P9:P18" si="3">FDIST(O9,$G9,$I9)</f>
        <v>#DIV/0!</v>
      </c>
      <c r="Q9" s="105" t="e">
        <f t="shared" ref="Q9:Q18" si="4">$H9/$J9</f>
        <v>#DIV/0!</v>
      </c>
      <c r="R9" s="104" t="e">
        <f t="shared" ref="R9:R18" si="5">FDIST(Q9,$I9,$K9)</f>
        <v>#DIV/0!</v>
      </c>
      <c r="S9" s="106">
        <f t="shared" ref="S9:S18" si="6">$G$4/T9</f>
        <v>5.5555555555555558E-3</v>
      </c>
      <c r="T9" s="107">
        <f t="shared" ref="T9:T18" si="7">IF(ROW(T9)&gt;10,T8-1,$I$4)</f>
        <v>9</v>
      </c>
      <c r="U9" s="108" t="e">
        <f t="shared" ref="U9:U18" si="8">IF(ROW(U9)&gt;$K$4,IF(AND(R9&lt;S9,LEN(U8)=1),"*","n.s."),IF(R9&lt;S9,"*","n.s."))</f>
        <v>#DIV/0!</v>
      </c>
      <c r="V9" s="105" t="e">
        <f t="shared" ref="V9:V18" si="9">100*$J9/$H9</f>
        <v>#DIV/0!</v>
      </c>
      <c r="X9" s="109">
        <f t="shared" ref="X9:X18" si="10">($K9/(($E9+1)*($G9+1)))+1</f>
        <v>1</v>
      </c>
      <c r="Y9" s="110">
        <f t="shared" ref="Y9:Y18" si="11">($H9-$J9)/X9</f>
        <v>0</v>
      </c>
      <c r="Z9" s="111" t="e">
        <f t="shared" ref="Z9:Z18" si="12">(($H9-$J9)*($H9-$J9))/((($H9*$H9)/$I9)+(($J9*$J9)/$K9))</f>
        <v>#DIV/0!</v>
      </c>
      <c r="AB9" s="102" t="str">
        <f t="shared" ref="AB9:AB18" si="13">$A9</f>
        <v>FORUMULAE!!!  DO NOT ENTER VALUES IN THIS ROW --&gt;</v>
      </c>
      <c r="AC9" s="102">
        <f t="shared" ref="AC9:AC18" si="14">$B9</f>
        <v>0</v>
      </c>
      <c r="AH9" s="103"/>
      <c r="AI9" s="112"/>
      <c r="AJ9" s="112"/>
      <c r="AK9" s="112"/>
      <c r="AL9" s="112" t="e">
        <f t="shared" ref="AL9:AL18" si="15">$AF9/$AG9</f>
        <v>#DIV/0!</v>
      </c>
      <c r="AM9" s="106" t="e">
        <f t="shared" ref="AM9:AM18" si="16">TDIST(ABS($AL9),($AH9-1),2)</f>
        <v>#DIV/0!</v>
      </c>
      <c r="AN9" s="106">
        <f t="shared" ref="AN9:AN18" si="17">$G$4/AO9</f>
        <v>5.5555555555555558E-3</v>
      </c>
      <c r="AO9" s="107">
        <f t="shared" ref="AO9:AO18" si="18">IF(ROW(AO9)&gt;10,AO8-1,$I$4)</f>
        <v>9</v>
      </c>
      <c r="AP9" s="108" t="e">
        <f t="shared" ref="AP9:AP18" si="19">IF(ROW(AP9)&gt;$K$4,IF(AND(AM9&lt;AN9,LEN(AP8)=1),"*","n.s."),IF(AM9&lt;AN9,"*","n.s."))</f>
        <v>#DIV/0!</v>
      </c>
      <c r="AR9" s="113">
        <f t="shared" ref="AR9:AR18" si="20">$AI9</f>
        <v>0</v>
      </c>
      <c r="AS9" s="104">
        <f t="shared" ref="AS9:AS18" si="21">$AH9</f>
        <v>0</v>
      </c>
      <c r="AT9" s="103">
        <v>0</v>
      </c>
      <c r="AU9" s="113">
        <f t="shared" ref="AU9:AU18" si="22">SQRT((6*$AS9*($AS9-1))/(($AS9-2)*($AS9+1)*($AS9+3)))</f>
        <v>0</v>
      </c>
      <c r="AV9" s="113" t="e">
        <f t="shared" ref="AV9:AV18" si="23">(AR9-AT9)/AU9</f>
        <v>#DIV/0!</v>
      </c>
      <c r="AW9" s="103" t="s">
        <v>34</v>
      </c>
      <c r="AX9" s="106" t="e">
        <f t="shared" ref="AX9:AX18" si="24">TDIST(ABS(AV9),10000,2)</f>
        <v>#DIV/0!</v>
      </c>
      <c r="AY9" s="106">
        <f t="shared" ref="AY9:AY18" si="25">$G$4/AZ9</f>
        <v>5.5555555555555558E-3</v>
      </c>
      <c r="AZ9" s="107">
        <f t="shared" ref="AZ9:AZ18" si="26">IF(ROW(AZ9)&gt;10,AZ8-1,$I$4)</f>
        <v>9</v>
      </c>
      <c r="BA9" s="108" t="e">
        <f t="shared" ref="BA9:BA18" si="27">IF(ROW(BA9)&gt;$K$4,IF(AND(AX9&lt;AY9,LEN(BA8)=1),"*","n.s."),IF(AX9&lt;AY9,"*","n.s."))</f>
        <v>#DIV/0!</v>
      </c>
      <c r="BC9" s="113">
        <f t="shared" ref="BC9:BC18" si="28">$AJ9</f>
        <v>0</v>
      </c>
      <c r="BD9" s="104">
        <f t="shared" ref="BD9:BD18" si="29">$AH9</f>
        <v>0</v>
      </c>
      <c r="BE9" s="103">
        <v>0</v>
      </c>
      <c r="BF9" s="113">
        <f t="shared" ref="BF9:BF18" si="30">SQRT((24*$BD9*($BD9-1)*($BD9-1))/(($BD9-3)*($BD9-2)*($BD9+3)*($BD9+5)))</f>
        <v>0</v>
      </c>
      <c r="BG9" s="113" t="e">
        <f t="shared" ref="BG9:BG18" si="31">(BC9-BE9)/BF9</f>
        <v>#DIV/0!</v>
      </c>
      <c r="BH9" s="103" t="s">
        <v>34</v>
      </c>
      <c r="BI9" s="104" t="e">
        <f t="shared" ref="BI9:BI18" si="32">TDIST(ABS(BG9),10000,2)</f>
        <v>#DIV/0!</v>
      </c>
      <c r="BJ9" s="106">
        <f t="shared" ref="BJ9:BJ18" si="33">$G$4/BK9</f>
        <v>5.5555555555555558E-3</v>
      </c>
      <c r="BK9" s="107">
        <f t="shared" ref="BK9:BK18" si="34">IF(ROW(BK9)&gt;10,BK8-1,$I$4)</f>
        <v>9</v>
      </c>
      <c r="BL9" s="108" t="e">
        <f t="shared" ref="BL9:BL18" si="35">IF(ROW(BL9)&gt;$K$4,IF(AND(BI9&lt;BJ9,LEN(BL8)=1),"*","n.s."),IF(BI9&lt;BJ9,"*","n.s."))</f>
        <v>#DIV/0!</v>
      </c>
    </row>
    <row r="10" spans="1:64" s="104" customFormat="1" ht="15">
      <c r="A10" s="117" t="s">
        <v>131</v>
      </c>
      <c r="B10" s="117" t="s">
        <v>128</v>
      </c>
      <c r="C10" s="117"/>
      <c r="D10" s="117">
        <v>2.0362</v>
      </c>
      <c r="E10" s="117">
        <v>1</v>
      </c>
      <c r="F10" s="117">
        <v>9.3390000000000004</v>
      </c>
      <c r="G10" s="117">
        <v>33</v>
      </c>
      <c r="H10" s="117">
        <v>0.31009999999999999</v>
      </c>
      <c r="I10" s="117">
        <v>33</v>
      </c>
      <c r="J10" s="117">
        <v>2.4309999999999998E-2</v>
      </c>
      <c r="K10" s="117">
        <v>612</v>
      </c>
      <c r="L10"/>
      <c r="M10" s="105">
        <f t="shared" si="0"/>
        <v>6.5662689455014513</v>
      </c>
      <c r="N10" s="104">
        <f t="shared" si="1"/>
        <v>1.5142399411714316E-2</v>
      </c>
      <c r="O10" s="105">
        <f t="shared" si="2"/>
        <v>30.116091583360209</v>
      </c>
      <c r="P10" s="104">
        <f t="shared" si="3"/>
        <v>8.5335398905216506E-17</v>
      </c>
      <c r="Q10" s="105">
        <f t="shared" si="4"/>
        <v>12.756067461949815</v>
      </c>
      <c r="R10" s="104">
        <f t="shared" si="5"/>
        <v>2.6292599150768151E-50</v>
      </c>
      <c r="S10" s="106">
        <f t="shared" si="6"/>
        <v>5.5555555555555558E-3</v>
      </c>
      <c r="T10" s="107">
        <f t="shared" si="7"/>
        <v>9</v>
      </c>
      <c r="U10" s="108" t="str">
        <f t="shared" si="8"/>
        <v>*</v>
      </c>
      <c r="V10" s="105">
        <f t="shared" si="9"/>
        <v>7.839406643018382</v>
      </c>
      <c r="X10" s="109">
        <f t="shared" si="10"/>
        <v>10</v>
      </c>
      <c r="Y10" s="110">
        <f t="shared" si="11"/>
        <v>2.8579E-2</v>
      </c>
      <c r="Z10" s="111">
        <f t="shared" si="12"/>
        <v>28.01951223235536</v>
      </c>
      <c r="AB10" s="102" t="str">
        <f t="shared" si="13"/>
        <v>fembreadth</v>
      </c>
      <c r="AC10" s="102" t="str">
        <f t="shared" si="14"/>
        <v>MXM3</v>
      </c>
      <c r="AD10">
        <v>11.46</v>
      </c>
      <c r="AE10">
        <v>0.12</v>
      </c>
      <c r="AF10">
        <v>-0.11</v>
      </c>
      <c r="AG10">
        <v>0.04</v>
      </c>
      <c r="AH10">
        <v>34</v>
      </c>
      <c r="AI10">
        <v>0.55006010000000005</v>
      </c>
      <c r="AJ10">
        <v>0.58316279999999998</v>
      </c>
      <c r="AK10" s="42"/>
      <c r="AL10" s="112">
        <f t="shared" si="15"/>
        <v>-2.75</v>
      </c>
      <c r="AM10" s="106">
        <f t="shared" si="16"/>
        <v>9.595444927953705E-3</v>
      </c>
      <c r="AN10" s="106">
        <f t="shared" si="17"/>
        <v>5.5555555555555558E-3</v>
      </c>
      <c r="AO10" s="107">
        <f t="shared" si="18"/>
        <v>9</v>
      </c>
      <c r="AP10" s="108" t="str">
        <f t="shared" si="19"/>
        <v>n.s.</v>
      </c>
      <c r="AR10" s="113">
        <f t="shared" si="20"/>
        <v>0.55006010000000005</v>
      </c>
      <c r="AS10" s="104">
        <f t="shared" si="21"/>
        <v>34</v>
      </c>
      <c r="AT10" s="103">
        <v>0</v>
      </c>
      <c r="AU10" s="113">
        <f t="shared" si="22"/>
        <v>0.40305302064584186</v>
      </c>
      <c r="AV10" s="113">
        <f t="shared" si="23"/>
        <v>1.3647338484614202</v>
      </c>
      <c r="AW10" s="103" t="s">
        <v>34</v>
      </c>
      <c r="AX10" s="106">
        <f t="shared" si="24"/>
        <v>0.17236742313077499</v>
      </c>
      <c r="AY10" s="106">
        <f t="shared" si="25"/>
        <v>5.5555555555555558E-3</v>
      </c>
      <c r="AZ10" s="107">
        <f t="shared" si="26"/>
        <v>9</v>
      </c>
      <c r="BA10" s="108" t="str">
        <f t="shared" si="27"/>
        <v>n.s.</v>
      </c>
      <c r="BC10" s="113">
        <f t="shared" si="28"/>
        <v>0.58316279999999998</v>
      </c>
      <c r="BD10" s="104">
        <f t="shared" si="29"/>
        <v>34</v>
      </c>
      <c r="BE10" s="103">
        <v>0</v>
      </c>
      <c r="BF10" s="113">
        <f t="shared" si="30"/>
        <v>0.78789803549171344</v>
      </c>
      <c r="BG10" s="113">
        <f t="shared" si="31"/>
        <v>0.74015008761388557</v>
      </c>
      <c r="BH10" s="103" t="s">
        <v>34</v>
      </c>
      <c r="BI10" s="104">
        <f t="shared" si="32"/>
        <v>0.45922630561802813</v>
      </c>
      <c r="BJ10" s="106">
        <f t="shared" si="33"/>
        <v>5.5555555555555558E-3</v>
      </c>
      <c r="BK10" s="107">
        <f t="shared" si="34"/>
        <v>9</v>
      </c>
      <c r="BL10" s="108" t="str">
        <f t="shared" si="35"/>
        <v>n.s.</v>
      </c>
    </row>
    <row r="11" spans="1:64" s="104" customFormat="1" ht="15">
      <c r="A11" s="117" t="s">
        <v>131</v>
      </c>
      <c r="B11" s="117" t="s">
        <v>130</v>
      </c>
      <c r="C11" s="117"/>
      <c r="D11" s="117">
        <v>16.893000000000001</v>
      </c>
      <c r="E11" s="117">
        <v>1</v>
      </c>
      <c r="F11" s="117">
        <v>3.589</v>
      </c>
      <c r="G11" s="117">
        <v>30</v>
      </c>
      <c r="H11" s="117">
        <v>0.14599999999999999</v>
      </c>
      <c r="I11" s="117">
        <v>30</v>
      </c>
      <c r="J11" s="117">
        <v>1.353E-2</v>
      </c>
      <c r="K11" s="117">
        <v>558</v>
      </c>
      <c r="L11"/>
      <c r="M11" s="105">
        <f t="shared" si="0"/>
        <v>115.7054794520548</v>
      </c>
      <c r="N11" s="104">
        <f t="shared" si="1"/>
        <v>8.1479375197794789E-12</v>
      </c>
      <c r="O11" s="105">
        <f t="shared" si="2"/>
        <v>24.582191780821919</v>
      </c>
      <c r="P11" s="104">
        <f t="shared" si="3"/>
        <v>3.4977713720676137E-14</v>
      </c>
      <c r="Q11" s="105">
        <f t="shared" si="4"/>
        <v>10.790835181079082</v>
      </c>
      <c r="R11" s="104">
        <f t="shared" si="5"/>
        <v>9.2977806474778682E-39</v>
      </c>
      <c r="S11" s="106">
        <f t="shared" si="6"/>
        <v>6.2500000000000003E-3</v>
      </c>
      <c r="T11" s="107">
        <f t="shared" si="7"/>
        <v>8</v>
      </c>
      <c r="U11" s="108" t="str">
        <f t="shared" si="8"/>
        <v>*</v>
      </c>
      <c r="V11" s="105">
        <f t="shared" si="9"/>
        <v>9.2671232876712342</v>
      </c>
      <c r="X11" s="109">
        <f t="shared" si="10"/>
        <v>10</v>
      </c>
      <c r="Y11" s="110">
        <f t="shared" si="11"/>
        <v>1.3246999999999998E-2</v>
      </c>
      <c r="Z11" s="111">
        <f t="shared" si="12"/>
        <v>24.685966790814668</v>
      </c>
      <c r="AB11" s="102" t="str">
        <f t="shared" si="13"/>
        <v>fembreadth</v>
      </c>
      <c r="AC11" s="102" t="str">
        <f t="shared" si="14"/>
        <v>MXP4</v>
      </c>
      <c r="AD11">
        <v>8.6199999999999992</v>
      </c>
      <c r="AE11">
        <v>0.08</v>
      </c>
      <c r="AF11">
        <v>-0.33</v>
      </c>
      <c r="AG11">
        <v>0.03</v>
      </c>
      <c r="AH11">
        <v>31</v>
      </c>
      <c r="AI11">
        <v>0.72765259999999998</v>
      </c>
      <c r="AJ11">
        <v>0.54544040000000005</v>
      </c>
      <c r="AK11" s="42"/>
      <c r="AL11" s="112">
        <f t="shared" si="15"/>
        <v>-11.000000000000002</v>
      </c>
      <c r="AM11" s="106">
        <f t="shared" si="16"/>
        <v>4.7502353943330284E-12</v>
      </c>
      <c r="AN11" s="106">
        <f t="shared" si="17"/>
        <v>6.2500000000000003E-3</v>
      </c>
      <c r="AO11" s="107">
        <f t="shared" si="18"/>
        <v>8</v>
      </c>
      <c r="AP11" s="108" t="str">
        <f t="shared" si="19"/>
        <v>n.s.</v>
      </c>
      <c r="AR11" s="113">
        <f t="shared" si="20"/>
        <v>0.72765259999999998</v>
      </c>
      <c r="AS11" s="104">
        <f t="shared" si="21"/>
        <v>31</v>
      </c>
      <c r="AT11" s="103">
        <v>0</v>
      </c>
      <c r="AU11" s="113">
        <f t="shared" si="22"/>
        <v>0.42053645832306225</v>
      </c>
      <c r="AV11" s="113">
        <f t="shared" si="23"/>
        <v>1.7302961148757443</v>
      </c>
      <c r="AW11" s="103" t="s">
        <v>34</v>
      </c>
      <c r="AX11" s="106">
        <f t="shared" si="24"/>
        <v>8.3608234946878426E-2</v>
      </c>
      <c r="AY11" s="106">
        <f t="shared" si="25"/>
        <v>6.2500000000000003E-3</v>
      </c>
      <c r="AZ11" s="107">
        <f t="shared" si="26"/>
        <v>8</v>
      </c>
      <c r="BA11" s="108" t="str">
        <f t="shared" si="27"/>
        <v>n.s.</v>
      </c>
      <c r="BC11" s="113">
        <f t="shared" si="28"/>
        <v>0.54544040000000005</v>
      </c>
      <c r="BD11" s="104">
        <f t="shared" si="29"/>
        <v>31</v>
      </c>
      <c r="BE11" s="103">
        <v>0</v>
      </c>
      <c r="BF11" s="113">
        <f t="shared" si="30"/>
        <v>0.8208031207099884</v>
      </c>
      <c r="BG11" s="113">
        <f t="shared" si="31"/>
        <v>0.66452037795397056</v>
      </c>
      <c r="BH11" s="103" t="s">
        <v>34</v>
      </c>
      <c r="BI11" s="104">
        <f t="shared" si="32"/>
        <v>0.50637263342293615</v>
      </c>
      <c r="BJ11" s="106">
        <f t="shared" si="33"/>
        <v>6.2500000000000003E-3</v>
      </c>
      <c r="BK11" s="107">
        <f t="shared" si="34"/>
        <v>8</v>
      </c>
      <c r="BL11" s="108" t="str">
        <f t="shared" si="35"/>
        <v>n.s.</v>
      </c>
    </row>
    <row r="12" spans="1:64" s="104" customFormat="1" ht="15">
      <c r="A12" s="117" t="s">
        <v>131</v>
      </c>
      <c r="B12" s="117" t="s">
        <v>125</v>
      </c>
      <c r="C12" s="117"/>
      <c r="D12" s="117">
        <v>0.37519999999999998</v>
      </c>
      <c r="E12" s="117">
        <v>1</v>
      </c>
      <c r="F12" s="117">
        <v>2.1579999999999999</v>
      </c>
      <c r="G12" s="117">
        <v>13</v>
      </c>
      <c r="H12" s="117">
        <v>5.21E-2</v>
      </c>
      <c r="I12" s="117">
        <v>13</v>
      </c>
      <c r="J12" s="117">
        <v>7.7140000000000004E-3</v>
      </c>
      <c r="K12" s="117">
        <v>252</v>
      </c>
      <c r="L12"/>
      <c r="M12" s="105">
        <f t="shared" si="0"/>
        <v>7.2015355086372352</v>
      </c>
      <c r="N12" s="104">
        <f t="shared" si="1"/>
        <v>1.8772841863694753E-2</v>
      </c>
      <c r="O12" s="105">
        <f t="shared" si="2"/>
        <v>41.420345489443378</v>
      </c>
      <c r="P12" s="104">
        <f t="shared" si="3"/>
        <v>2.0916494913294007E-8</v>
      </c>
      <c r="Q12" s="105">
        <f t="shared" si="4"/>
        <v>6.7539538501425973</v>
      </c>
      <c r="R12" s="104">
        <f t="shared" si="5"/>
        <v>4.1608695916333811E-11</v>
      </c>
      <c r="S12" s="106">
        <f t="shared" si="6"/>
        <v>7.1428571428571435E-3</v>
      </c>
      <c r="T12" s="107">
        <f t="shared" si="7"/>
        <v>7</v>
      </c>
      <c r="U12" s="108" t="str">
        <f t="shared" si="8"/>
        <v>*</v>
      </c>
      <c r="V12" s="105">
        <f t="shared" si="9"/>
        <v>14.806142034548946</v>
      </c>
      <c r="X12" s="109">
        <f t="shared" si="10"/>
        <v>10</v>
      </c>
      <c r="Y12" s="110">
        <f t="shared" si="11"/>
        <v>4.4386E-3</v>
      </c>
      <c r="Z12" s="111">
        <f t="shared" si="12"/>
        <v>9.4247329753917626</v>
      </c>
      <c r="AB12" s="102" t="str">
        <f t="shared" si="13"/>
        <v>fembreadth</v>
      </c>
      <c r="AC12" s="102" t="str">
        <f t="shared" si="14"/>
        <v>MNP4</v>
      </c>
      <c r="AD12">
        <v>6.87</v>
      </c>
      <c r="AE12">
        <v>0.09</v>
      </c>
      <c r="AF12">
        <v>-7.0000000000000007E-2</v>
      </c>
      <c r="AG12">
        <v>0.03</v>
      </c>
      <c r="AH12">
        <v>14</v>
      </c>
      <c r="AI12">
        <v>0.15358459999999999</v>
      </c>
      <c r="AJ12">
        <v>0.5270108</v>
      </c>
      <c r="AK12" s="42"/>
      <c r="AL12" s="112">
        <f t="shared" si="15"/>
        <v>-2.3333333333333335</v>
      </c>
      <c r="AM12" s="106">
        <f t="shared" si="16"/>
        <v>3.6336760575209889E-2</v>
      </c>
      <c r="AN12" s="106">
        <f t="shared" si="17"/>
        <v>7.1428571428571435E-3</v>
      </c>
      <c r="AO12" s="107">
        <f t="shared" si="18"/>
        <v>7</v>
      </c>
      <c r="AP12" s="108" t="str">
        <f t="shared" si="19"/>
        <v>n.s.</v>
      </c>
      <c r="AR12" s="113">
        <f t="shared" si="20"/>
        <v>0.15358459999999999</v>
      </c>
      <c r="AS12" s="104">
        <f t="shared" si="21"/>
        <v>14</v>
      </c>
      <c r="AT12" s="103">
        <v>0</v>
      </c>
      <c r="AU12" s="113">
        <f t="shared" si="22"/>
        <v>0.59737990014566045</v>
      </c>
      <c r="AV12" s="113">
        <f t="shared" si="23"/>
        <v>0.25709703316524563</v>
      </c>
      <c r="AW12" s="103" t="s">
        <v>34</v>
      </c>
      <c r="AX12" s="106">
        <f t="shared" si="24"/>
        <v>0.7971091572963771</v>
      </c>
      <c r="AY12" s="106">
        <f t="shared" si="25"/>
        <v>7.1428571428571435E-3</v>
      </c>
      <c r="AZ12" s="107">
        <f t="shared" si="26"/>
        <v>7</v>
      </c>
      <c r="BA12" s="108" t="str">
        <f t="shared" si="27"/>
        <v>n.s.</v>
      </c>
      <c r="BC12" s="113">
        <f t="shared" si="28"/>
        <v>0.5270108</v>
      </c>
      <c r="BD12" s="104">
        <f t="shared" si="29"/>
        <v>14</v>
      </c>
      <c r="BE12" s="103">
        <v>0</v>
      </c>
      <c r="BF12" s="113">
        <f t="shared" si="30"/>
        <v>1.1540503691056441</v>
      </c>
      <c r="BG12" s="113">
        <f t="shared" si="31"/>
        <v>0.45666187032063277</v>
      </c>
      <c r="BH12" s="103" t="s">
        <v>34</v>
      </c>
      <c r="BI12" s="104">
        <f t="shared" si="32"/>
        <v>0.6479240197514512</v>
      </c>
      <c r="BJ12" s="106">
        <f t="shared" si="33"/>
        <v>7.1428571428571435E-3</v>
      </c>
      <c r="BK12" s="107">
        <f t="shared" si="34"/>
        <v>7</v>
      </c>
      <c r="BL12" s="108" t="str">
        <f t="shared" si="35"/>
        <v>n.s.</v>
      </c>
    </row>
    <row r="13" spans="1:64" s="104" customFormat="1" ht="15">
      <c r="A13" s="117" t="s">
        <v>131</v>
      </c>
      <c r="B13" s="117" t="s">
        <v>123</v>
      </c>
      <c r="C13" s="117"/>
      <c r="D13" s="117">
        <v>3.1126</v>
      </c>
      <c r="E13" s="117">
        <v>1</v>
      </c>
      <c r="F13" s="117">
        <v>4.4950000000000001</v>
      </c>
      <c r="G13" s="117">
        <v>15</v>
      </c>
      <c r="H13" s="117">
        <v>0.11650000000000001</v>
      </c>
      <c r="I13" s="117">
        <v>15</v>
      </c>
      <c r="J13" s="117">
        <v>1.193E-2</v>
      </c>
      <c r="K13" s="117">
        <v>288</v>
      </c>
      <c r="L13"/>
      <c r="M13" s="105">
        <f t="shared" si="0"/>
        <v>26.717596566523603</v>
      </c>
      <c r="N13" s="104">
        <f t="shared" si="1"/>
        <v>1.1436419904548688E-4</v>
      </c>
      <c r="O13" s="105">
        <f t="shared" si="2"/>
        <v>38.583690987124463</v>
      </c>
      <c r="P13" s="104">
        <f t="shared" si="3"/>
        <v>2.9931553798152613E-9</v>
      </c>
      <c r="Q13" s="105">
        <f t="shared" si="4"/>
        <v>9.765297569153395</v>
      </c>
      <c r="R13" s="104">
        <f t="shared" si="5"/>
        <v>1.2153820543423045E-18</v>
      </c>
      <c r="S13" s="106">
        <f t="shared" si="6"/>
        <v>8.3333333333333332E-3</v>
      </c>
      <c r="T13" s="107">
        <f t="shared" si="7"/>
        <v>6</v>
      </c>
      <c r="U13" s="108" t="str">
        <f t="shared" si="8"/>
        <v>*</v>
      </c>
      <c r="V13" s="105">
        <f t="shared" si="9"/>
        <v>10.240343347639485</v>
      </c>
      <c r="X13" s="109">
        <f t="shared" si="10"/>
        <v>10</v>
      </c>
      <c r="Y13" s="110">
        <f t="shared" si="11"/>
        <v>1.0457000000000001E-2</v>
      </c>
      <c r="Z13" s="111">
        <f t="shared" si="12"/>
        <v>12.078596976724674</v>
      </c>
      <c r="AB13" s="102" t="str">
        <f t="shared" si="13"/>
        <v>fembreadth</v>
      </c>
      <c r="AC13" s="102" t="str">
        <f t="shared" si="14"/>
        <v>MNM2</v>
      </c>
      <c r="AD13">
        <v>9.9700000000000006</v>
      </c>
      <c r="AE13">
        <v>0.12</v>
      </c>
      <c r="AF13">
        <v>-0.2</v>
      </c>
      <c r="AG13">
        <v>0.04</v>
      </c>
      <c r="AH13">
        <v>16</v>
      </c>
      <c r="AI13">
        <v>0.33414110000000002</v>
      </c>
      <c r="AJ13">
        <v>0.40613179999999999</v>
      </c>
      <c r="AK13" s="42"/>
      <c r="AL13" s="112">
        <f t="shared" si="15"/>
        <v>-5</v>
      </c>
      <c r="AM13" s="106">
        <f t="shared" si="16"/>
        <v>1.5836951462202693E-4</v>
      </c>
      <c r="AN13" s="106">
        <f t="shared" si="17"/>
        <v>8.3333333333333332E-3</v>
      </c>
      <c r="AO13" s="107">
        <f t="shared" si="18"/>
        <v>6</v>
      </c>
      <c r="AP13" s="108" t="str">
        <f t="shared" si="19"/>
        <v>n.s.</v>
      </c>
      <c r="AR13" s="113">
        <f t="shared" si="20"/>
        <v>0.33414110000000002</v>
      </c>
      <c r="AS13" s="104">
        <f t="shared" si="21"/>
        <v>16</v>
      </c>
      <c r="AT13" s="103">
        <v>0</v>
      </c>
      <c r="AU13" s="113">
        <f t="shared" si="22"/>
        <v>0.56430768800396502</v>
      </c>
      <c r="AV13" s="113">
        <f t="shared" si="23"/>
        <v>0.59212572698044164</v>
      </c>
      <c r="AW13" s="103" t="s">
        <v>34</v>
      </c>
      <c r="AX13" s="106">
        <f t="shared" si="24"/>
        <v>0.55377978740288958</v>
      </c>
      <c r="AY13" s="106">
        <f t="shared" si="25"/>
        <v>8.3333333333333332E-3</v>
      </c>
      <c r="AZ13" s="107">
        <f t="shared" si="26"/>
        <v>6</v>
      </c>
      <c r="BA13" s="108" t="str">
        <f t="shared" si="27"/>
        <v>n.s.</v>
      </c>
      <c r="BC13" s="113">
        <f t="shared" si="28"/>
        <v>0.40613179999999999</v>
      </c>
      <c r="BD13" s="104">
        <f t="shared" si="29"/>
        <v>16</v>
      </c>
      <c r="BE13" s="103">
        <v>0</v>
      </c>
      <c r="BF13" s="113">
        <f t="shared" si="30"/>
        <v>1.0907738793870476</v>
      </c>
      <c r="BG13" s="113">
        <f t="shared" si="31"/>
        <v>0.37233363181397666</v>
      </c>
      <c r="BH13" s="103" t="s">
        <v>34</v>
      </c>
      <c r="BI13" s="104">
        <f t="shared" si="32"/>
        <v>0.70965235137558125</v>
      </c>
      <c r="BJ13" s="106">
        <f t="shared" si="33"/>
        <v>8.3333333333333332E-3</v>
      </c>
      <c r="BK13" s="107">
        <f t="shared" si="34"/>
        <v>6</v>
      </c>
      <c r="BL13" s="108" t="str">
        <f t="shared" si="35"/>
        <v>n.s.</v>
      </c>
    </row>
    <row r="14" spans="1:64" s="104" customFormat="1" ht="15">
      <c r="A14" s="117" t="s">
        <v>131</v>
      </c>
      <c r="B14" s="117" t="s">
        <v>124</v>
      </c>
      <c r="C14" s="117"/>
      <c r="D14" s="117">
        <v>3.7690000000000001</v>
      </c>
      <c r="E14" s="117">
        <v>1</v>
      </c>
      <c r="F14" s="117">
        <v>7.4850000000000003</v>
      </c>
      <c r="G14" s="117">
        <v>19</v>
      </c>
      <c r="H14" s="117">
        <v>0.10299999999999999</v>
      </c>
      <c r="I14" s="117">
        <v>19</v>
      </c>
      <c r="J14" s="117">
        <v>1.738E-2</v>
      </c>
      <c r="K14" s="117">
        <v>360</v>
      </c>
      <c r="L14"/>
      <c r="M14" s="105">
        <f t="shared" si="0"/>
        <v>36.592233009708742</v>
      </c>
      <c r="N14" s="104">
        <f t="shared" si="1"/>
        <v>8.09082417611592E-6</v>
      </c>
      <c r="O14" s="105">
        <f t="shared" si="2"/>
        <v>72.669902912621367</v>
      </c>
      <c r="P14" s="104">
        <f t="shared" si="3"/>
        <v>7.7720934117066559E-14</v>
      </c>
      <c r="Q14" s="105">
        <f t="shared" si="4"/>
        <v>5.9263521288837744</v>
      </c>
      <c r="R14" s="104">
        <f t="shared" si="5"/>
        <v>4.8806082586946801E-13</v>
      </c>
      <c r="S14" s="106">
        <f t="shared" si="6"/>
        <v>0.01</v>
      </c>
      <c r="T14" s="107">
        <f t="shared" si="7"/>
        <v>5</v>
      </c>
      <c r="U14" s="108" t="str">
        <f t="shared" si="8"/>
        <v>*</v>
      </c>
      <c r="V14" s="105">
        <f t="shared" si="9"/>
        <v>16.873786407766993</v>
      </c>
      <c r="X14" s="109">
        <f t="shared" si="10"/>
        <v>10</v>
      </c>
      <c r="Y14" s="110">
        <f t="shared" si="11"/>
        <v>8.5620000000000002E-3</v>
      </c>
      <c r="Z14" s="111">
        <f t="shared" si="12"/>
        <v>13.109238603603904</v>
      </c>
      <c r="AB14" s="102" t="str">
        <f t="shared" si="13"/>
        <v>fembreadth</v>
      </c>
      <c r="AC14" s="102" t="str">
        <f t="shared" si="14"/>
        <v>MNM3</v>
      </c>
      <c r="AD14">
        <v>10.61</v>
      </c>
      <c r="AE14">
        <v>0.14000000000000001</v>
      </c>
      <c r="AF14">
        <v>-0.19</v>
      </c>
      <c r="AG14">
        <v>0.03</v>
      </c>
      <c r="AH14">
        <v>20</v>
      </c>
      <c r="AI14">
        <v>0.5416183</v>
      </c>
      <c r="AJ14">
        <v>0.35811900000000002</v>
      </c>
      <c r="AK14" s="42"/>
      <c r="AL14" s="112">
        <f t="shared" si="15"/>
        <v>-6.3333333333333339</v>
      </c>
      <c r="AM14" s="106">
        <f t="shared" si="16"/>
        <v>4.4567106671580986E-6</v>
      </c>
      <c r="AN14" s="106">
        <f t="shared" si="17"/>
        <v>0.01</v>
      </c>
      <c r="AO14" s="107">
        <f t="shared" si="18"/>
        <v>5</v>
      </c>
      <c r="AP14" s="108" t="str">
        <f t="shared" si="19"/>
        <v>n.s.</v>
      </c>
      <c r="AR14" s="113">
        <f t="shared" si="20"/>
        <v>0.5416183</v>
      </c>
      <c r="AS14" s="104">
        <f t="shared" si="21"/>
        <v>20</v>
      </c>
      <c r="AT14" s="103">
        <v>0</v>
      </c>
      <c r="AU14" s="113">
        <f t="shared" si="22"/>
        <v>0.51210333670775743</v>
      </c>
      <c r="AV14" s="113">
        <f t="shared" si="23"/>
        <v>1.0576347802808517</v>
      </c>
      <c r="AW14" s="103" t="s">
        <v>34</v>
      </c>
      <c r="AX14" s="106">
        <f t="shared" si="24"/>
        <v>0.2902475274020162</v>
      </c>
      <c r="AY14" s="106">
        <f t="shared" si="25"/>
        <v>0.01</v>
      </c>
      <c r="AZ14" s="107">
        <f t="shared" si="26"/>
        <v>5</v>
      </c>
      <c r="BA14" s="108" t="str">
        <f t="shared" si="27"/>
        <v>n.s.</v>
      </c>
      <c r="BC14" s="113">
        <f t="shared" si="28"/>
        <v>0.35811900000000002</v>
      </c>
      <c r="BD14" s="104">
        <f t="shared" si="29"/>
        <v>20</v>
      </c>
      <c r="BE14" s="103">
        <v>0</v>
      </c>
      <c r="BF14" s="113">
        <f t="shared" si="30"/>
        <v>0.99238361254184504</v>
      </c>
      <c r="BG14" s="113">
        <f t="shared" si="31"/>
        <v>0.3608675067524853</v>
      </c>
      <c r="BH14" s="103" t="s">
        <v>34</v>
      </c>
      <c r="BI14" s="104">
        <f t="shared" si="32"/>
        <v>0.71820611768577047</v>
      </c>
      <c r="BJ14" s="106">
        <f t="shared" si="33"/>
        <v>0.01</v>
      </c>
      <c r="BK14" s="107">
        <f t="shared" si="34"/>
        <v>5</v>
      </c>
      <c r="BL14" s="108" t="str">
        <f t="shared" si="35"/>
        <v>n.s.</v>
      </c>
    </row>
    <row r="15" spans="1:64" s="104" customFormat="1" ht="15">
      <c r="A15" s="117" t="s">
        <v>131</v>
      </c>
      <c r="B15" s="117" t="s">
        <v>122</v>
      </c>
      <c r="C15" s="117"/>
      <c r="D15" s="117">
        <v>2.3624000000000001</v>
      </c>
      <c r="E15" s="117">
        <v>1</v>
      </c>
      <c r="F15" s="117">
        <v>3.117</v>
      </c>
      <c r="G15" s="117">
        <v>19</v>
      </c>
      <c r="H15" s="117">
        <v>7.1400000000000005E-2</v>
      </c>
      <c r="I15" s="117">
        <v>19</v>
      </c>
      <c r="J15" s="117">
        <v>8.633E-3</v>
      </c>
      <c r="K15" s="117">
        <v>360</v>
      </c>
      <c r="L15"/>
      <c r="M15" s="105">
        <f t="shared" si="0"/>
        <v>33.086834733893554</v>
      </c>
      <c r="N15" s="104">
        <f t="shared" si="1"/>
        <v>1.5254999919187464E-5</v>
      </c>
      <c r="O15" s="105">
        <f t="shared" si="2"/>
        <v>43.655462184873947</v>
      </c>
      <c r="P15" s="104">
        <f t="shared" si="3"/>
        <v>8.4348220898194764E-12</v>
      </c>
      <c r="Q15" s="105">
        <f t="shared" si="4"/>
        <v>8.270589598053979</v>
      </c>
      <c r="R15" s="104">
        <f t="shared" si="5"/>
        <v>3.3520632771249814E-19</v>
      </c>
      <c r="S15" s="106">
        <f t="shared" si="6"/>
        <v>1.2500000000000001E-2</v>
      </c>
      <c r="T15" s="107">
        <f t="shared" si="7"/>
        <v>4</v>
      </c>
      <c r="U15" s="108" t="str">
        <f t="shared" si="8"/>
        <v>*</v>
      </c>
      <c r="V15" s="105">
        <f t="shared" si="9"/>
        <v>12.091036414565824</v>
      </c>
      <c r="X15" s="109">
        <f t="shared" si="10"/>
        <v>10</v>
      </c>
      <c r="Y15" s="110">
        <f t="shared" si="11"/>
        <v>6.2767000000000005E-3</v>
      </c>
      <c r="Z15" s="111">
        <f t="shared" si="12"/>
        <v>14.671852734405077</v>
      </c>
      <c r="AB15" s="102" t="str">
        <f t="shared" si="13"/>
        <v>fembreadth</v>
      </c>
      <c r="AC15" s="102" t="str">
        <f t="shared" si="14"/>
        <v>MNM1</v>
      </c>
      <c r="AD15">
        <v>8.0399999999999991</v>
      </c>
      <c r="AE15">
        <v>0.09</v>
      </c>
      <c r="AF15">
        <v>-0.15</v>
      </c>
      <c r="AG15">
        <v>0.03</v>
      </c>
      <c r="AH15">
        <v>20</v>
      </c>
      <c r="AI15">
        <v>0.26496160000000002</v>
      </c>
      <c r="AJ15">
        <v>0.2130599</v>
      </c>
      <c r="AK15" s="42"/>
      <c r="AL15" s="112">
        <f t="shared" si="15"/>
        <v>-5</v>
      </c>
      <c r="AM15" s="106">
        <f t="shared" si="16"/>
        <v>7.9499749984176358E-5</v>
      </c>
      <c r="AN15" s="106">
        <f t="shared" si="17"/>
        <v>1.2500000000000001E-2</v>
      </c>
      <c r="AO15" s="107">
        <f t="shared" si="18"/>
        <v>4</v>
      </c>
      <c r="AP15" s="108" t="str">
        <f t="shared" si="19"/>
        <v>n.s.</v>
      </c>
      <c r="AR15" s="113">
        <f t="shared" si="20"/>
        <v>0.26496160000000002</v>
      </c>
      <c r="AS15" s="104">
        <f t="shared" si="21"/>
        <v>20</v>
      </c>
      <c r="AT15" s="103">
        <v>0</v>
      </c>
      <c r="AU15" s="113">
        <f t="shared" si="22"/>
        <v>0.51210333670775743</v>
      </c>
      <c r="AV15" s="113">
        <f t="shared" si="23"/>
        <v>0.51739869867554866</v>
      </c>
      <c r="AW15" s="103" t="s">
        <v>34</v>
      </c>
      <c r="AX15" s="106">
        <f t="shared" si="24"/>
        <v>0.60488931210412467</v>
      </c>
      <c r="AY15" s="106">
        <f t="shared" si="25"/>
        <v>1.2500000000000001E-2</v>
      </c>
      <c r="AZ15" s="107">
        <f t="shared" si="26"/>
        <v>4</v>
      </c>
      <c r="BA15" s="108" t="str">
        <f t="shared" si="27"/>
        <v>n.s.</v>
      </c>
      <c r="BC15" s="113">
        <f t="shared" si="28"/>
        <v>0.2130599</v>
      </c>
      <c r="BD15" s="104">
        <f t="shared" si="29"/>
        <v>20</v>
      </c>
      <c r="BE15" s="103">
        <v>0</v>
      </c>
      <c r="BF15" s="113">
        <f t="shared" si="30"/>
        <v>0.99238361254184504</v>
      </c>
      <c r="BG15" s="113">
        <f t="shared" si="31"/>
        <v>0.21469510107515613</v>
      </c>
      <c r="BH15" s="103" t="s">
        <v>34</v>
      </c>
      <c r="BI15" s="104">
        <f t="shared" si="32"/>
        <v>0.83000942012015178</v>
      </c>
      <c r="BJ15" s="106">
        <f t="shared" si="33"/>
        <v>1.2500000000000001E-2</v>
      </c>
      <c r="BK15" s="107">
        <f t="shared" si="34"/>
        <v>4</v>
      </c>
      <c r="BL15" s="108" t="str">
        <f t="shared" si="35"/>
        <v>n.s.</v>
      </c>
    </row>
    <row r="16" spans="1:64" s="104" customFormat="1" ht="15">
      <c r="A16" s="117" t="s">
        <v>131</v>
      </c>
      <c r="B16" s="117" t="s">
        <v>127</v>
      </c>
      <c r="C16" s="117"/>
      <c r="D16" s="117">
        <v>5.99</v>
      </c>
      <c r="E16" s="117">
        <v>1</v>
      </c>
      <c r="F16" s="117">
        <v>9.0399999999999991</v>
      </c>
      <c r="G16" s="117">
        <v>29</v>
      </c>
      <c r="H16" s="117">
        <v>0.106</v>
      </c>
      <c r="I16" s="117">
        <v>29</v>
      </c>
      <c r="J16" s="117">
        <v>1.6899999999999998E-2</v>
      </c>
      <c r="K16" s="117">
        <v>540</v>
      </c>
      <c r="L16"/>
      <c r="M16" s="105">
        <f t="shared" si="0"/>
        <v>56.509433962264154</v>
      </c>
      <c r="N16" s="104">
        <f t="shared" si="1"/>
        <v>2.7579117162937338E-8</v>
      </c>
      <c r="O16" s="105">
        <f t="shared" si="2"/>
        <v>85.283018867924525</v>
      </c>
      <c r="P16" s="104">
        <f t="shared" si="3"/>
        <v>2.8908477485411697E-21</v>
      </c>
      <c r="Q16" s="105">
        <f t="shared" si="4"/>
        <v>6.2721893491124261</v>
      </c>
      <c r="R16" s="104">
        <f t="shared" si="5"/>
        <v>3.630459817264589E-20</v>
      </c>
      <c r="S16" s="106">
        <f t="shared" si="6"/>
        <v>1.6666666666666666E-2</v>
      </c>
      <c r="T16" s="107">
        <f t="shared" si="7"/>
        <v>3</v>
      </c>
      <c r="U16" s="108" t="str">
        <f t="shared" si="8"/>
        <v>*</v>
      </c>
      <c r="V16" s="105">
        <f t="shared" si="9"/>
        <v>15.943396226415095</v>
      </c>
      <c r="X16" s="109">
        <f t="shared" si="10"/>
        <v>10</v>
      </c>
      <c r="Y16" s="110">
        <f t="shared" si="11"/>
        <v>8.9099999999999995E-3</v>
      </c>
      <c r="Z16" s="111">
        <f t="shared" si="12"/>
        <v>20.462053807133188</v>
      </c>
      <c r="AB16" s="102" t="str">
        <f t="shared" si="13"/>
        <v>fembreadth</v>
      </c>
      <c r="AC16" s="102" t="str">
        <f t="shared" si="14"/>
        <v>MXM2</v>
      </c>
      <c r="AD16">
        <v>11.35</v>
      </c>
      <c r="AE16">
        <v>0.12</v>
      </c>
      <c r="AF16">
        <v>-0.2</v>
      </c>
      <c r="AG16">
        <v>0.03</v>
      </c>
      <c r="AH16">
        <v>30</v>
      </c>
      <c r="AI16">
        <v>0.30887360000000003</v>
      </c>
      <c r="AJ16">
        <v>0.1729617</v>
      </c>
      <c r="AK16" s="42"/>
      <c r="AL16" s="112">
        <f t="shared" si="15"/>
        <v>-6.666666666666667</v>
      </c>
      <c r="AM16" s="106">
        <f t="shared" si="16"/>
        <v>2.6043752794442675E-7</v>
      </c>
      <c r="AN16" s="106">
        <f t="shared" si="17"/>
        <v>1.6666666666666666E-2</v>
      </c>
      <c r="AO16" s="107">
        <f t="shared" si="18"/>
        <v>3</v>
      </c>
      <c r="AP16" s="108" t="str">
        <f t="shared" si="19"/>
        <v>n.s.</v>
      </c>
      <c r="AR16" s="113">
        <f t="shared" si="20"/>
        <v>0.30887360000000003</v>
      </c>
      <c r="AS16" s="104">
        <f t="shared" si="21"/>
        <v>30</v>
      </c>
      <c r="AT16" s="103">
        <v>0</v>
      </c>
      <c r="AU16" s="113">
        <f t="shared" si="22"/>
        <v>0.42689239595123812</v>
      </c>
      <c r="AV16" s="113">
        <f t="shared" si="23"/>
        <v>0.72353970913850896</v>
      </c>
      <c r="AW16" s="103" t="s">
        <v>34</v>
      </c>
      <c r="AX16" s="106">
        <f t="shared" si="24"/>
        <v>0.46936529101574209</v>
      </c>
      <c r="AY16" s="106">
        <f t="shared" si="25"/>
        <v>1.6666666666666666E-2</v>
      </c>
      <c r="AZ16" s="107">
        <f t="shared" si="26"/>
        <v>3</v>
      </c>
      <c r="BA16" s="108" t="str">
        <f t="shared" si="27"/>
        <v>n.s.</v>
      </c>
      <c r="BC16" s="113">
        <f t="shared" si="28"/>
        <v>0.1729617</v>
      </c>
      <c r="BD16" s="104">
        <f t="shared" si="29"/>
        <v>30</v>
      </c>
      <c r="BE16" s="103">
        <v>0</v>
      </c>
      <c r="BF16" s="113">
        <f t="shared" si="30"/>
        <v>0.83274561835763283</v>
      </c>
      <c r="BG16" s="113">
        <f t="shared" si="31"/>
        <v>0.20770052244900492</v>
      </c>
      <c r="BH16" s="103" t="s">
        <v>34</v>
      </c>
      <c r="BI16" s="104">
        <f t="shared" si="32"/>
        <v>0.83546703919787468</v>
      </c>
      <c r="BJ16" s="106">
        <f t="shared" si="33"/>
        <v>1.6666666666666666E-2</v>
      </c>
      <c r="BK16" s="107">
        <f t="shared" si="34"/>
        <v>3</v>
      </c>
      <c r="BL16" s="108" t="str">
        <f t="shared" si="35"/>
        <v>n.s.</v>
      </c>
    </row>
    <row r="17" spans="1:64" s="104" customFormat="1" ht="15">
      <c r="A17" s="117" t="s">
        <v>131</v>
      </c>
      <c r="B17" s="117" t="s">
        <v>129</v>
      </c>
      <c r="C17" s="117"/>
      <c r="D17" s="117">
        <v>10.064</v>
      </c>
      <c r="E17" s="117">
        <v>1</v>
      </c>
      <c r="F17" s="117">
        <v>3.4180000000000001</v>
      </c>
      <c r="G17" s="117">
        <v>25</v>
      </c>
      <c r="H17" s="117">
        <v>0.40799999999999997</v>
      </c>
      <c r="I17" s="117">
        <v>25</v>
      </c>
      <c r="J17" s="117">
        <v>1.3100000000000001E-2</v>
      </c>
      <c r="K17" s="117">
        <v>468</v>
      </c>
      <c r="L17"/>
      <c r="M17" s="105">
        <f t="shared" si="0"/>
        <v>24.666666666666668</v>
      </c>
      <c r="N17" s="104">
        <f t="shared" si="1"/>
        <v>4.0640542891898751E-5</v>
      </c>
      <c r="O17" s="105">
        <f t="shared" si="2"/>
        <v>8.3774509803921582</v>
      </c>
      <c r="P17" s="104">
        <f t="shared" si="3"/>
        <v>5.6868992117756068E-7</v>
      </c>
      <c r="Q17" s="105">
        <f t="shared" si="4"/>
        <v>31.145038167938928</v>
      </c>
      <c r="R17" s="104">
        <f t="shared" si="5"/>
        <v>2.1799428062423024E-83</v>
      </c>
      <c r="S17" s="106">
        <f t="shared" si="6"/>
        <v>2.5000000000000001E-2</v>
      </c>
      <c r="T17" s="107">
        <f t="shared" si="7"/>
        <v>2</v>
      </c>
      <c r="U17" s="108" t="str">
        <f t="shared" si="8"/>
        <v>*</v>
      </c>
      <c r="V17" s="105">
        <f t="shared" si="9"/>
        <v>3.2107843137254903</v>
      </c>
      <c r="X17" s="109">
        <f t="shared" si="10"/>
        <v>10</v>
      </c>
      <c r="Y17" s="110">
        <f t="shared" si="11"/>
        <v>3.9489999999999997E-2</v>
      </c>
      <c r="Z17" s="111">
        <f t="shared" si="12"/>
        <v>23.419090989577711</v>
      </c>
      <c r="AB17" s="102" t="str">
        <f t="shared" si="13"/>
        <v>fembreadth</v>
      </c>
      <c r="AC17" s="102" t="str">
        <f t="shared" si="14"/>
        <v>MXP3</v>
      </c>
      <c r="AD17">
        <v>7.65</v>
      </c>
      <c r="AE17">
        <v>0.08</v>
      </c>
      <c r="AF17">
        <v>-0.28000000000000003</v>
      </c>
      <c r="AG17">
        <v>0.06</v>
      </c>
      <c r="AH17">
        <v>26</v>
      </c>
      <c r="AI17">
        <v>0.47819270000000003</v>
      </c>
      <c r="AJ17">
        <v>0.16313140000000001</v>
      </c>
      <c r="AK17" s="42"/>
      <c r="AL17" s="112">
        <f t="shared" si="15"/>
        <v>-4.666666666666667</v>
      </c>
      <c r="AM17" s="106">
        <f t="shared" si="16"/>
        <v>8.8403560839263038E-5</v>
      </c>
      <c r="AN17" s="106">
        <f t="shared" si="17"/>
        <v>2.5000000000000001E-2</v>
      </c>
      <c r="AO17" s="107">
        <f t="shared" si="18"/>
        <v>2</v>
      </c>
      <c r="AP17" s="108" t="str">
        <f t="shared" si="19"/>
        <v>n.s.</v>
      </c>
      <c r="AR17" s="113">
        <f t="shared" si="20"/>
        <v>0.47819270000000003</v>
      </c>
      <c r="AS17" s="104">
        <f t="shared" si="21"/>
        <v>26</v>
      </c>
      <c r="AT17" s="103">
        <v>0</v>
      </c>
      <c r="AU17" s="113">
        <f t="shared" si="22"/>
        <v>0.45556022799211165</v>
      </c>
      <c r="AV17" s="113">
        <f t="shared" si="23"/>
        <v>1.0496805265631755</v>
      </c>
      <c r="AW17" s="103" t="s">
        <v>34</v>
      </c>
      <c r="AX17" s="106">
        <f t="shared" si="24"/>
        <v>0.29389038658034233</v>
      </c>
      <c r="AY17" s="106">
        <f t="shared" si="25"/>
        <v>2.5000000000000001E-2</v>
      </c>
      <c r="AZ17" s="107">
        <f t="shared" si="26"/>
        <v>2</v>
      </c>
      <c r="BA17" s="108" t="str">
        <f t="shared" si="27"/>
        <v>n.s.</v>
      </c>
      <c r="BC17" s="113">
        <f t="shared" si="28"/>
        <v>0.16313140000000001</v>
      </c>
      <c r="BD17" s="104">
        <f t="shared" si="29"/>
        <v>26</v>
      </c>
      <c r="BE17" s="103">
        <v>0</v>
      </c>
      <c r="BF17" s="113">
        <f t="shared" si="30"/>
        <v>0.88650853007385</v>
      </c>
      <c r="BG17" s="113">
        <f t="shared" si="31"/>
        <v>0.18401560105282963</v>
      </c>
      <c r="BH17" s="103" t="s">
        <v>34</v>
      </c>
      <c r="BI17" s="104">
        <f t="shared" si="32"/>
        <v>0.85400494715900521</v>
      </c>
      <c r="BJ17" s="106">
        <f t="shared" si="33"/>
        <v>2.5000000000000001E-2</v>
      </c>
      <c r="BK17" s="107">
        <f t="shared" si="34"/>
        <v>2</v>
      </c>
      <c r="BL17" s="108" t="str">
        <f t="shared" si="35"/>
        <v>n.s.</v>
      </c>
    </row>
    <row r="18" spans="1:64" s="104" customFormat="1" ht="15">
      <c r="A18" s="117" t="s">
        <v>131</v>
      </c>
      <c r="B18" s="117" t="s">
        <v>126</v>
      </c>
      <c r="C18" s="117"/>
      <c r="D18" s="117">
        <v>7.4909999999999997</v>
      </c>
      <c r="E18" s="117">
        <v>1</v>
      </c>
      <c r="F18" s="117">
        <v>3.0030000000000001</v>
      </c>
      <c r="G18" s="117">
        <v>30</v>
      </c>
      <c r="H18" s="117">
        <v>0.124</v>
      </c>
      <c r="I18" s="117">
        <v>30</v>
      </c>
      <c r="J18" s="117">
        <v>8.2909999999999998E-3</v>
      </c>
      <c r="K18" s="117">
        <v>558</v>
      </c>
      <c r="L18"/>
      <c r="M18" s="105">
        <f t="shared" si="0"/>
        <v>60.411290322580641</v>
      </c>
      <c r="N18" s="104">
        <f t="shared" si="1"/>
        <v>1.1331319079346933E-8</v>
      </c>
      <c r="O18" s="105">
        <f t="shared" si="2"/>
        <v>24.217741935483872</v>
      </c>
      <c r="P18" s="104">
        <f t="shared" si="3"/>
        <v>4.3045534441113631E-14</v>
      </c>
      <c r="Q18" s="105">
        <f t="shared" si="4"/>
        <v>14.955976359908334</v>
      </c>
      <c r="R18" s="104">
        <f t="shared" si="5"/>
        <v>1.1951390862819704E-53</v>
      </c>
      <c r="S18" s="106">
        <f t="shared" si="6"/>
        <v>0.05</v>
      </c>
      <c r="T18" s="107">
        <f t="shared" si="7"/>
        <v>1</v>
      </c>
      <c r="U18" s="108" t="str">
        <f t="shared" si="8"/>
        <v>*</v>
      </c>
      <c r="V18" s="105">
        <f t="shared" si="9"/>
        <v>6.6862903225806445</v>
      </c>
      <c r="X18" s="109">
        <f t="shared" si="10"/>
        <v>10</v>
      </c>
      <c r="Y18" s="110">
        <f t="shared" si="11"/>
        <v>1.15709E-2</v>
      </c>
      <c r="Z18" s="111">
        <f t="shared" si="12"/>
        <v>26.116068050806547</v>
      </c>
      <c r="AB18" s="102" t="str">
        <f t="shared" si="13"/>
        <v>fembreadth</v>
      </c>
      <c r="AC18" s="102" t="str">
        <f t="shared" si="14"/>
        <v>MXM1</v>
      </c>
      <c r="AD18">
        <v>9.7899999999999991</v>
      </c>
      <c r="AE18">
        <v>7.0000000000000007E-2</v>
      </c>
      <c r="AF18">
        <v>-0.22</v>
      </c>
      <c r="AG18">
        <v>0.03</v>
      </c>
      <c r="AH18">
        <v>31</v>
      </c>
      <c r="AI18">
        <v>1.688773E-2</v>
      </c>
      <c r="AJ18">
        <v>0.1410478</v>
      </c>
      <c r="AK18" s="42"/>
      <c r="AL18" s="112">
        <f t="shared" si="15"/>
        <v>-7.3333333333333339</v>
      </c>
      <c r="AM18" s="106">
        <f t="shared" si="16"/>
        <v>3.6193028179065605E-8</v>
      </c>
      <c r="AN18" s="106">
        <f t="shared" si="17"/>
        <v>0.05</v>
      </c>
      <c r="AO18" s="107">
        <f t="shared" si="18"/>
        <v>1</v>
      </c>
      <c r="AP18" s="108" t="str">
        <f t="shared" si="19"/>
        <v>n.s.</v>
      </c>
      <c r="AR18" s="113">
        <f t="shared" si="20"/>
        <v>1.688773E-2</v>
      </c>
      <c r="AS18" s="104">
        <f t="shared" si="21"/>
        <v>31</v>
      </c>
      <c r="AT18" s="103">
        <v>0</v>
      </c>
      <c r="AU18" s="113">
        <f t="shared" si="22"/>
        <v>0.42053645832306225</v>
      </c>
      <c r="AV18" s="113">
        <f t="shared" si="23"/>
        <v>4.0157588398736642E-2</v>
      </c>
      <c r="AW18" s="103" t="s">
        <v>34</v>
      </c>
      <c r="AX18" s="106">
        <f t="shared" si="24"/>
        <v>0.96796829155323949</v>
      </c>
      <c r="AY18" s="106">
        <f t="shared" si="25"/>
        <v>0.05</v>
      </c>
      <c r="AZ18" s="107">
        <f t="shared" si="26"/>
        <v>1</v>
      </c>
      <c r="BA18" s="108" t="str">
        <f t="shared" si="27"/>
        <v>n.s.</v>
      </c>
      <c r="BC18" s="113">
        <f t="shared" si="28"/>
        <v>0.1410478</v>
      </c>
      <c r="BD18" s="104">
        <f t="shared" si="29"/>
        <v>31</v>
      </c>
      <c r="BE18" s="103">
        <v>0</v>
      </c>
      <c r="BF18" s="113">
        <f t="shared" si="30"/>
        <v>0.8208031207099884</v>
      </c>
      <c r="BG18" s="113">
        <f t="shared" si="31"/>
        <v>0.17184120825222343</v>
      </c>
      <c r="BH18" s="103" t="s">
        <v>34</v>
      </c>
      <c r="BI18" s="104">
        <f t="shared" si="32"/>
        <v>0.86356584505977652</v>
      </c>
      <c r="BJ18" s="106">
        <f t="shared" si="33"/>
        <v>0.05</v>
      </c>
      <c r="BK18" s="107">
        <f t="shared" si="34"/>
        <v>1</v>
      </c>
      <c r="BL18" s="108" t="str">
        <f t="shared" si="35"/>
        <v>n.s.</v>
      </c>
    </row>
    <row r="19" spans="1:64" ht="13.5" thickBot="1"/>
    <row r="20" spans="1:64">
      <c r="A20" s="74" t="s">
        <v>35</v>
      </c>
      <c r="B20" s="75"/>
      <c r="C20" s="75"/>
      <c r="D20" s="75"/>
      <c r="E20" s="75"/>
      <c r="F20" s="75"/>
      <c r="G20" s="75"/>
      <c r="H20" s="75"/>
      <c r="I20" s="76"/>
    </row>
    <row r="21" spans="1:64">
      <c r="A21" s="77"/>
      <c r="B21" s="78"/>
      <c r="C21" s="78"/>
      <c r="D21" s="78"/>
      <c r="E21" s="78"/>
      <c r="F21" s="78"/>
      <c r="G21" s="78"/>
      <c r="H21" s="78"/>
      <c r="I21" s="79"/>
    </row>
    <row r="22" spans="1:64">
      <c r="A22" s="77" t="s">
        <v>36</v>
      </c>
      <c r="B22" s="78"/>
      <c r="C22" s="78"/>
      <c r="D22" s="78"/>
      <c r="E22" s="78"/>
      <c r="F22" s="78"/>
      <c r="G22" s="78"/>
      <c r="H22" s="78"/>
      <c r="I22" s="79"/>
    </row>
    <row r="23" spans="1:64">
      <c r="A23" s="77"/>
      <c r="B23" s="78"/>
      <c r="C23" s="78"/>
      <c r="D23" s="78"/>
      <c r="E23" s="78"/>
      <c r="F23" s="78"/>
      <c r="G23" s="78"/>
      <c r="H23" s="78"/>
      <c r="I23" s="79"/>
    </row>
    <row r="24" spans="1:64">
      <c r="A24" s="77" t="s">
        <v>37</v>
      </c>
      <c r="B24" s="78"/>
      <c r="C24" s="78"/>
      <c r="D24" s="78"/>
      <c r="E24" s="78"/>
      <c r="F24" s="78"/>
      <c r="G24" s="78"/>
      <c r="H24" s="78"/>
      <c r="I24" s="79"/>
    </row>
    <row r="25" spans="1:64">
      <c r="A25" s="77"/>
      <c r="B25" s="78"/>
      <c r="C25" s="78"/>
      <c r="D25" s="78"/>
      <c r="E25" s="78"/>
      <c r="F25" s="78"/>
      <c r="G25" s="78"/>
      <c r="H25" s="78"/>
      <c r="I25" s="79"/>
    </row>
    <row r="26" spans="1:64">
      <c r="A26" s="77" t="s">
        <v>38</v>
      </c>
      <c r="B26" s="78"/>
      <c r="C26" s="78"/>
      <c r="D26" s="78"/>
      <c r="E26" s="78"/>
      <c r="F26" s="78"/>
      <c r="G26" s="78"/>
      <c r="H26" s="78"/>
      <c r="I26" s="79"/>
    </row>
    <row r="27" spans="1:64">
      <c r="A27" s="77"/>
      <c r="B27" s="78"/>
      <c r="C27" s="78"/>
      <c r="D27" s="78"/>
      <c r="E27" s="78"/>
      <c r="F27" s="78"/>
      <c r="G27" s="78"/>
      <c r="H27" s="78"/>
      <c r="I27" s="79"/>
    </row>
    <row r="28" spans="1:64">
      <c r="A28" s="80" t="s">
        <v>39</v>
      </c>
      <c r="B28" s="78"/>
      <c r="C28" s="78"/>
      <c r="D28" s="78"/>
      <c r="E28" s="78"/>
      <c r="F28" s="78"/>
      <c r="G28" s="78"/>
      <c r="H28" s="78"/>
      <c r="I28" s="79"/>
    </row>
    <row r="29" spans="1:64">
      <c r="A29" s="77" t="s">
        <v>40</v>
      </c>
      <c r="B29" s="78"/>
      <c r="C29" s="78"/>
      <c r="D29" s="78"/>
      <c r="E29" s="78"/>
      <c r="F29" s="78"/>
      <c r="G29" s="78"/>
      <c r="H29" s="78"/>
      <c r="I29" s="79"/>
    </row>
    <row r="30" spans="1:64">
      <c r="A30" s="80"/>
      <c r="B30" s="78"/>
      <c r="C30" s="78"/>
      <c r="D30" s="78"/>
      <c r="E30" s="78"/>
      <c r="F30" s="78"/>
      <c r="G30" s="78"/>
      <c r="H30" s="78"/>
      <c r="I30" s="79"/>
    </row>
    <row r="31" spans="1:64">
      <c r="A31" s="77" t="s">
        <v>58</v>
      </c>
      <c r="B31" s="78"/>
      <c r="C31" s="78"/>
      <c r="D31" s="78"/>
      <c r="E31" s="78"/>
      <c r="F31" s="78"/>
      <c r="G31" s="78"/>
      <c r="H31" s="78"/>
      <c r="I31" s="79"/>
    </row>
    <row r="32" spans="1:64">
      <c r="A32" s="80" t="s">
        <v>44</v>
      </c>
      <c r="B32" s="78"/>
      <c r="C32" s="78"/>
      <c r="D32" s="78"/>
      <c r="E32" s="78"/>
      <c r="F32" s="78"/>
      <c r="G32" s="78"/>
      <c r="H32" s="78"/>
      <c r="I32" s="79"/>
    </row>
    <row r="33" spans="1:9">
      <c r="A33" s="77" t="s">
        <v>59</v>
      </c>
      <c r="B33" s="78"/>
      <c r="C33" s="78"/>
      <c r="D33" s="78"/>
      <c r="E33" s="78"/>
      <c r="F33" s="78"/>
      <c r="G33" s="78"/>
      <c r="H33" s="78"/>
      <c r="I33" s="79"/>
    </row>
    <row r="34" spans="1:9">
      <c r="A34" s="80" t="s">
        <v>60</v>
      </c>
      <c r="B34" s="78"/>
      <c r="C34" s="78"/>
      <c r="D34" s="78"/>
      <c r="E34" s="78"/>
      <c r="F34" s="78"/>
      <c r="G34" s="78"/>
      <c r="H34" s="78"/>
      <c r="I34" s="79"/>
    </row>
    <row r="35" spans="1:9">
      <c r="A35" s="80" t="s">
        <v>61</v>
      </c>
      <c r="B35" s="78"/>
      <c r="C35" s="78"/>
      <c r="D35" s="78"/>
      <c r="E35" s="78"/>
      <c r="F35" s="78"/>
      <c r="G35" s="78"/>
      <c r="H35" s="78"/>
      <c r="I35" s="79"/>
    </row>
    <row r="36" spans="1:9">
      <c r="A36" s="80" t="s">
        <v>62</v>
      </c>
      <c r="B36" s="78"/>
      <c r="C36" s="78"/>
      <c r="D36" s="78"/>
      <c r="E36" s="78"/>
      <c r="F36" s="78"/>
      <c r="G36" s="78"/>
      <c r="H36" s="78"/>
      <c r="I36" s="79"/>
    </row>
    <row r="37" spans="1:9">
      <c r="A37" s="77"/>
      <c r="B37" s="78"/>
      <c r="C37" s="78"/>
      <c r="D37" s="78"/>
      <c r="E37" s="78"/>
      <c r="F37" s="78"/>
      <c r="G37" s="78"/>
      <c r="H37" s="78"/>
      <c r="I37" s="79"/>
    </row>
    <row r="38" spans="1:9">
      <c r="A38" s="77" t="s">
        <v>63</v>
      </c>
      <c r="B38" s="78"/>
      <c r="C38" s="78"/>
      <c r="D38" s="78"/>
      <c r="E38" s="78"/>
      <c r="F38" s="78"/>
      <c r="G38" s="78"/>
      <c r="H38" s="78"/>
      <c r="I38" s="79"/>
    </row>
    <row r="39" spans="1:9">
      <c r="A39" s="77" t="s">
        <v>64</v>
      </c>
      <c r="B39" s="78"/>
      <c r="C39" s="78"/>
      <c r="D39" s="78"/>
      <c r="E39" s="78"/>
      <c r="F39" s="78"/>
      <c r="G39" s="78"/>
      <c r="H39" s="78"/>
      <c r="I39" s="79"/>
    </row>
    <row r="40" spans="1:9">
      <c r="A40" s="80"/>
      <c r="B40" s="78"/>
      <c r="C40" s="78"/>
      <c r="D40" s="78"/>
      <c r="E40" s="78"/>
      <c r="F40" s="78"/>
      <c r="G40" s="78"/>
      <c r="H40" s="78"/>
      <c r="I40" s="79"/>
    </row>
    <row r="41" spans="1:9">
      <c r="A41" s="80" t="s">
        <v>65</v>
      </c>
      <c r="B41" s="78"/>
      <c r="C41" s="78"/>
      <c r="D41" s="78"/>
      <c r="E41" s="78"/>
      <c r="F41" s="78"/>
      <c r="G41" s="78"/>
      <c r="H41" s="78"/>
      <c r="I41" s="79"/>
    </row>
    <row r="42" spans="1:9">
      <c r="A42" s="77" t="s">
        <v>66</v>
      </c>
      <c r="B42" s="78"/>
      <c r="C42" s="78"/>
      <c r="D42" s="78"/>
      <c r="E42" s="78"/>
      <c r="F42" s="78"/>
      <c r="G42" s="78"/>
      <c r="H42" s="78"/>
      <c r="I42" s="79"/>
    </row>
    <row r="43" spans="1:9">
      <c r="A43" s="77"/>
      <c r="B43" s="78"/>
      <c r="C43" s="78"/>
      <c r="D43" s="78"/>
      <c r="E43" s="78"/>
      <c r="F43" s="78"/>
      <c r="G43" s="78"/>
      <c r="H43" s="78"/>
      <c r="I43" s="79"/>
    </row>
    <row r="44" spans="1:9">
      <c r="A44" s="77" t="s">
        <v>67</v>
      </c>
      <c r="B44" s="78"/>
      <c r="C44" s="78"/>
      <c r="D44" s="78"/>
      <c r="E44" s="78"/>
      <c r="F44" s="78"/>
      <c r="G44" s="78"/>
      <c r="H44" s="78"/>
      <c r="I44" s="79"/>
    </row>
    <row r="45" spans="1:9">
      <c r="A45" s="80" t="s">
        <v>44</v>
      </c>
      <c r="B45" s="78"/>
      <c r="C45" s="78"/>
      <c r="D45" s="78"/>
      <c r="E45" s="78"/>
      <c r="F45" s="78"/>
      <c r="G45" s="78"/>
      <c r="H45" s="78"/>
      <c r="I45" s="79"/>
    </row>
    <row r="46" spans="1:9">
      <c r="A46" s="77" t="s">
        <v>45</v>
      </c>
      <c r="B46" s="78"/>
      <c r="C46" s="78"/>
      <c r="D46" s="78"/>
      <c r="E46" s="78"/>
      <c r="F46" s="78"/>
      <c r="G46" s="78"/>
      <c r="H46" s="78"/>
      <c r="I46" s="79"/>
    </row>
    <row r="47" spans="1:9">
      <c r="A47" s="77" t="s">
        <v>46</v>
      </c>
      <c r="B47" s="78"/>
      <c r="C47" s="78"/>
      <c r="D47" s="78"/>
      <c r="E47" s="78"/>
      <c r="F47" s="78"/>
      <c r="G47" s="78"/>
      <c r="H47" s="78"/>
      <c r="I47" s="79"/>
    </row>
    <row r="48" spans="1:9">
      <c r="A48" s="77" t="s">
        <v>47</v>
      </c>
      <c r="B48" s="78"/>
      <c r="C48" s="78"/>
      <c r="D48" s="78"/>
      <c r="E48" s="78"/>
      <c r="F48" s="78"/>
      <c r="G48" s="78"/>
      <c r="H48" s="78"/>
      <c r="I48" s="79"/>
    </row>
    <row r="49" spans="1:9">
      <c r="A49" s="77"/>
      <c r="B49" s="78"/>
      <c r="C49" s="78"/>
      <c r="D49" s="78"/>
      <c r="E49" s="78"/>
      <c r="F49" s="78"/>
      <c r="G49" s="78"/>
      <c r="H49" s="78"/>
      <c r="I49" s="79"/>
    </row>
    <row r="50" spans="1:9">
      <c r="A50" s="77" t="s">
        <v>68</v>
      </c>
      <c r="B50" s="78"/>
      <c r="C50" s="78"/>
      <c r="D50" s="78"/>
      <c r="E50" s="78"/>
      <c r="F50" s="78"/>
      <c r="G50" s="78"/>
      <c r="H50" s="78"/>
      <c r="I50" s="79"/>
    </row>
    <row r="51" spans="1:9">
      <c r="A51" s="77" t="s">
        <v>77</v>
      </c>
      <c r="B51" s="78"/>
      <c r="C51" s="78"/>
      <c r="D51" s="78"/>
      <c r="E51" s="78"/>
      <c r="F51" s="78"/>
      <c r="G51" s="78"/>
      <c r="H51" s="78"/>
      <c r="I51" s="79"/>
    </row>
    <row r="52" spans="1:9">
      <c r="A52" s="77" t="s">
        <v>78</v>
      </c>
      <c r="B52" s="78"/>
      <c r="C52" s="78"/>
      <c r="D52" s="78"/>
      <c r="E52" s="78"/>
      <c r="F52" s="78"/>
      <c r="G52" s="78"/>
      <c r="H52" s="78"/>
      <c r="I52" s="79"/>
    </row>
    <row r="53" spans="1:9">
      <c r="A53" s="77" t="s">
        <v>79</v>
      </c>
      <c r="B53" s="78"/>
      <c r="C53" s="78"/>
      <c r="D53" s="78"/>
      <c r="E53" s="78"/>
      <c r="F53" s="78"/>
      <c r="G53" s="78"/>
      <c r="H53" s="78"/>
      <c r="I53" s="79"/>
    </row>
    <row r="54" spans="1:9">
      <c r="A54" s="77" t="s">
        <v>80</v>
      </c>
      <c r="B54" s="78"/>
      <c r="C54" s="78"/>
      <c r="D54" s="78"/>
      <c r="E54" s="78"/>
      <c r="F54" s="78"/>
      <c r="G54" s="78"/>
      <c r="H54" s="78"/>
      <c r="I54" s="79"/>
    </row>
    <row r="55" spans="1:9">
      <c r="A55" s="77" t="s">
        <v>81</v>
      </c>
      <c r="B55" s="78"/>
      <c r="C55" s="78"/>
      <c r="D55" s="78"/>
      <c r="E55" s="78"/>
      <c r="F55" s="78"/>
      <c r="G55" s="78"/>
      <c r="H55" s="78"/>
      <c r="I55" s="79"/>
    </row>
    <row r="56" spans="1:9">
      <c r="A56" s="77" t="s">
        <v>82</v>
      </c>
      <c r="B56" s="78"/>
      <c r="C56" s="78"/>
      <c r="D56" s="78"/>
      <c r="E56" s="78"/>
      <c r="F56" s="78"/>
      <c r="G56" s="78"/>
      <c r="H56" s="78"/>
      <c r="I56" s="79"/>
    </row>
    <row r="57" spans="1:9">
      <c r="A57" s="77" t="s">
        <v>83</v>
      </c>
      <c r="B57" s="78"/>
      <c r="C57" s="78"/>
      <c r="D57" s="78"/>
      <c r="E57" s="78"/>
      <c r="F57" s="78"/>
      <c r="G57" s="78"/>
      <c r="H57" s="78"/>
      <c r="I57" s="79"/>
    </row>
    <row r="58" spans="1:9">
      <c r="A58" s="77" t="s">
        <v>84</v>
      </c>
      <c r="B58" s="78"/>
      <c r="C58" s="78"/>
      <c r="D58" s="78"/>
      <c r="E58" s="78"/>
      <c r="F58" s="78"/>
      <c r="G58" s="78"/>
      <c r="H58" s="78"/>
      <c r="I58" s="79"/>
    </row>
    <row r="59" spans="1:9">
      <c r="A59" s="77" t="s">
        <v>85</v>
      </c>
      <c r="B59" s="78"/>
      <c r="C59" s="78"/>
      <c r="D59" s="78"/>
      <c r="E59" s="78"/>
      <c r="F59" s="78"/>
      <c r="G59" s="78"/>
      <c r="H59" s="78"/>
      <c r="I59" s="79"/>
    </row>
    <row r="60" spans="1:9">
      <c r="A60" s="77"/>
      <c r="B60" s="78"/>
      <c r="C60" s="78"/>
      <c r="D60" s="78"/>
      <c r="E60" s="78"/>
      <c r="F60" s="78"/>
      <c r="G60" s="78"/>
      <c r="H60" s="78"/>
      <c r="I60" s="79"/>
    </row>
    <row r="61" spans="1:9">
      <c r="A61" s="77" t="s">
        <v>57</v>
      </c>
      <c r="B61" s="78"/>
      <c r="C61" s="78"/>
      <c r="D61" s="78"/>
      <c r="E61" s="78"/>
      <c r="F61" s="78"/>
      <c r="G61" s="78"/>
      <c r="H61" s="78"/>
      <c r="I61" s="79"/>
    </row>
    <row r="62" spans="1:9">
      <c r="A62" s="77" t="s">
        <v>86</v>
      </c>
      <c r="B62" s="78"/>
      <c r="C62" s="78"/>
      <c r="D62" s="78"/>
      <c r="E62" s="78"/>
      <c r="F62" s="78"/>
      <c r="G62" s="78"/>
      <c r="H62" s="78"/>
      <c r="I62" s="79"/>
    </row>
    <row r="63" spans="1:9">
      <c r="A63" s="115" t="s">
        <v>87</v>
      </c>
      <c r="B63" s="78"/>
      <c r="C63" s="78"/>
      <c r="D63" s="78"/>
      <c r="E63" s="78"/>
      <c r="F63" s="78"/>
      <c r="G63" s="78"/>
      <c r="H63" s="78"/>
      <c r="I63" s="79"/>
    </row>
    <row r="64" spans="1:9">
      <c r="A64" s="77"/>
      <c r="B64" s="78"/>
      <c r="C64" s="78"/>
      <c r="D64" s="78"/>
      <c r="E64" s="78"/>
      <c r="F64" s="78"/>
      <c r="G64" s="78"/>
      <c r="H64" s="78"/>
      <c r="I64" s="79"/>
    </row>
    <row r="65" spans="1:9">
      <c r="A65" s="116" t="s">
        <v>48</v>
      </c>
      <c r="B65" s="78"/>
      <c r="C65" s="78"/>
      <c r="D65" s="78"/>
      <c r="E65" s="78"/>
      <c r="F65" s="78"/>
      <c r="G65" s="78"/>
      <c r="H65" s="78"/>
      <c r="I65" s="79"/>
    </row>
    <row r="66" spans="1:9">
      <c r="A66" s="77" t="s">
        <v>49</v>
      </c>
      <c r="B66" s="78"/>
      <c r="C66" s="78"/>
      <c r="D66" s="78"/>
      <c r="E66" s="78"/>
      <c r="F66" s="78"/>
      <c r="G66" s="78"/>
      <c r="H66" s="78"/>
      <c r="I66" s="79"/>
    </row>
    <row r="67" spans="1:9">
      <c r="A67" s="77" t="s">
        <v>50</v>
      </c>
      <c r="B67" s="78"/>
      <c r="C67" s="78"/>
      <c r="D67" s="78"/>
      <c r="E67" s="78"/>
      <c r="F67" s="78"/>
      <c r="G67" s="78"/>
      <c r="H67" s="78"/>
      <c r="I67" s="79"/>
    </row>
    <row r="68" spans="1:9">
      <c r="A68" s="77" t="s">
        <v>51</v>
      </c>
      <c r="B68" s="78"/>
      <c r="C68" s="78"/>
      <c r="D68" s="78"/>
      <c r="E68" s="78"/>
      <c r="F68" s="78"/>
      <c r="G68" s="78"/>
      <c r="H68" s="78"/>
      <c r="I68" s="79"/>
    </row>
    <row r="69" spans="1:9">
      <c r="A69" s="77" t="s">
        <v>52</v>
      </c>
      <c r="B69" s="78"/>
      <c r="C69" s="78"/>
      <c r="D69" s="78"/>
      <c r="E69" s="78"/>
      <c r="F69" s="78"/>
      <c r="G69" s="78"/>
      <c r="H69" s="78"/>
      <c r="I69" s="79"/>
    </row>
    <row r="70" spans="1:9">
      <c r="A70" s="77" t="s">
        <v>53</v>
      </c>
      <c r="B70" s="78"/>
      <c r="C70" s="78"/>
      <c r="D70" s="78"/>
      <c r="E70" s="78"/>
      <c r="F70" s="78"/>
      <c r="G70" s="78"/>
      <c r="H70" s="78"/>
      <c r="I70" s="79"/>
    </row>
    <row r="71" spans="1:9">
      <c r="A71" s="77" t="s">
        <v>54</v>
      </c>
      <c r="B71" s="78"/>
      <c r="C71" s="78"/>
      <c r="D71" s="78"/>
      <c r="E71" s="78"/>
      <c r="F71" s="78"/>
      <c r="G71" s="78"/>
      <c r="H71" s="78"/>
      <c r="I71" s="79"/>
    </row>
    <row r="72" spans="1:9">
      <c r="A72" s="77" t="s">
        <v>56</v>
      </c>
      <c r="B72" s="78"/>
      <c r="C72" s="78"/>
      <c r="D72" s="78"/>
      <c r="E72" s="78"/>
      <c r="F72" s="78"/>
      <c r="G72" s="78"/>
      <c r="H72" s="78"/>
      <c r="I72" s="79"/>
    </row>
    <row r="73" spans="1:9" ht="13.5" thickBot="1">
      <c r="A73" s="81" t="s">
        <v>55</v>
      </c>
      <c r="B73" s="82"/>
      <c r="C73" s="82"/>
      <c r="D73" s="82"/>
      <c r="E73" s="82"/>
      <c r="F73" s="82"/>
      <c r="G73" s="82"/>
      <c r="H73" s="82"/>
      <c r="I73" s="83"/>
    </row>
  </sheetData>
  <sortState xmlns:xlrd2="http://schemas.microsoft.com/office/spreadsheetml/2017/richdata2" ref="A10:XFD18">
    <sortCondition ref="BI10:BI18"/>
  </sortState>
  <printOptions gridLines="1" gridLinesSet="0"/>
  <pageMargins left="0" right="0" top="0.75" bottom="0" header="0.5" footer="0.5"/>
  <pageSetup paperSize="0" scale="75" orientation="landscape" horizontalDpi="0" verticalDpi="0" copies="0"/>
  <headerFooter alignWithMargins="0">
    <oddHeader>&amp;CSource file:  &amp;F Printed: &amp;D  &amp;T  Page 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73C2A-6456-41F4-BD9F-57DF6E2FA89A}">
  <dimension ref="A1:BL73"/>
  <sheetViews>
    <sheetView topLeftCell="Y1" zoomScale="85" zoomScaleNormal="85" workbookViewId="0">
      <selection activeCell="AB10" sqref="AB10:BL18"/>
    </sheetView>
  </sheetViews>
  <sheetFormatPr defaultColWidth="12.42578125" defaultRowHeight="12.75"/>
  <cols>
    <col min="1" max="1" width="11.42578125" style="11" customWidth="1"/>
    <col min="2" max="2" width="9.7109375" customWidth="1"/>
    <col min="3" max="3" width="0.42578125" customWidth="1"/>
    <col min="4" max="4" width="8" customWidth="1"/>
    <col min="5" max="5" width="3.85546875" customWidth="1"/>
    <col min="6" max="6" width="8" customWidth="1"/>
    <col min="7" max="7" width="4.85546875" customWidth="1"/>
    <col min="8" max="8" width="8" customWidth="1"/>
    <col min="9" max="9" width="4.28515625" customWidth="1"/>
    <col min="10" max="10" width="9.140625" customWidth="1"/>
    <col min="11" max="11" width="4.28515625" customWidth="1"/>
    <col min="12" max="12" width="0.42578125" customWidth="1"/>
    <col min="13" max="13" width="7.7109375" style="38" customWidth="1"/>
    <col min="14" max="14" width="7.7109375" customWidth="1"/>
    <col min="15" max="15" width="7.7109375" style="38" customWidth="1"/>
    <col min="16" max="16" width="7.7109375" customWidth="1"/>
    <col min="17" max="17" width="7.7109375" style="38" customWidth="1"/>
    <col min="18" max="18" width="7.7109375" customWidth="1"/>
    <col min="19" max="19" width="10.28515625" style="53" customWidth="1"/>
    <col min="20" max="20" width="10.28515625" style="64" customWidth="1"/>
    <col min="21" max="21" width="9.42578125" style="58" customWidth="1"/>
    <col min="22" max="22" width="9.7109375" style="38" customWidth="1"/>
    <col min="23" max="23" width="0.42578125" customWidth="1"/>
    <col min="24" max="24" width="10.7109375" style="23" customWidth="1"/>
    <col min="25" max="25" width="10.42578125" style="6" customWidth="1"/>
    <col min="26" max="26" width="10.7109375" style="3" customWidth="1"/>
    <col min="27" max="27" width="0.42578125" customWidth="1"/>
    <col min="28" max="28" width="12.140625" style="11" customWidth="1"/>
    <col min="29" max="29" width="7" style="11" customWidth="1"/>
    <col min="30" max="30" width="11.7109375" customWidth="1"/>
    <col min="31" max="31" width="10" customWidth="1"/>
    <col min="32" max="32" width="8.85546875" customWidth="1"/>
    <col min="33" max="33" width="7.42578125" customWidth="1"/>
    <col min="34" max="34" width="6.42578125" style="2" customWidth="1"/>
    <col min="35" max="35" width="7.28515625" style="42" customWidth="1"/>
    <col min="36" max="36" width="7.85546875" style="42" customWidth="1"/>
    <col min="37" max="37" width="0.5703125" style="42" customWidth="1"/>
    <col min="38" max="38" width="10.7109375" style="42" customWidth="1"/>
    <col min="39" max="39" width="10.7109375" style="53" customWidth="1"/>
    <col min="40" max="40" width="9.85546875" style="53" customWidth="1"/>
    <col min="41" max="41" width="10.28515625" style="64" customWidth="1"/>
    <col min="42" max="42" width="9.42578125" style="58" customWidth="1"/>
    <col min="43" max="43" width="0.5703125" customWidth="1"/>
    <col min="45" max="45" width="4.28515625" customWidth="1"/>
    <col min="46" max="46" width="9.140625" customWidth="1"/>
    <col min="47" max="48" width="9" customWidth="1"/>
    <col min="49" max="49" width="5.85546875" customWidth="1"/>
    <col min="50" max="50" width="8.7109375" style="53" customWidth="1"/>
    <col min="51" max="51" width="9.85546875" style="53" customWidth="1"/>
    <col min="52" max="52" width="10.28515625" style="64" customWidth="1"/>
    <col min="53" max="53" width="9.42578125" style="58" customWidth="1"/>
    <col min="54" max="54" width="0.42578125" customWidth="1"/>
    <col min="56" max="56" width="5.28515625" customWidth="1"/>
    <col min="59" max="59" width="9.5703125" customWidth="1"/>
    <col min="60" max="60" width="6.42578125" customWidth="1"/>
    <col min="61" max="61" width="9.5703125" customWidth="1"/>
    <col min="62" max="62" width="9.85546875" style="53" customWidth="1"/>
    <col min="63" max="63" width="10.140625" style="64" customWidth="1"/>
    <col min="64" max="64" width="9.42578125" style="58" customWidth="1"/>
    <col min="65" max="65" width="0.42578125" customWidth="1"/>
  </cols>
  <sheetData>
    <row r="1" spans="1:64">
      <c r="A1" s="44" t="s">
        <v>75</v>
      </c>
      <c r="K1" s="114" t="s">
        <v>41</v>
      </c>
      <c r="AB1" s="11" t="s">
        <v>89</v>
      </c>
    </row>
    <row r="2" spans="1:64">
      <c r="A2" s="45" t="s">
        <v>76</v>
      </c>
      <c r="B2" s="1"/>
      <c r="C2" s="1"/>
      <c r="K2" s="114"/>
      <c r="S2" s="59" t="s">
        <v>88</v>
      </c>
      <c r="T2" s="69"/>
      <c r="U2" s="60"/>
      <c r="Y2"/>
      <c r="AB2" s="11" t="s">
        <v>91</v>
      </c>
      <c r="AN2" s="59" t="s">
        <v>88</v>
      </c>
      <c r="AO2" s="69"/>
      <c r="AP2" s="60"/>
      <c r="AY2" s="59" t="s">
        <v>88</v>
      </c>
      <c r="AZ2" s="69"/>
      <c r="BA2" s="60"/>
      <c r="BJ2" s="59" t="s">
        <v>88</v>
      </c>
      <c r="BK2" s="69"/>
      <c r="BL2" s="60"/>
    </row>
    <row r="3" spans="1:64" ht="21" thickBot="1">
      <c r="A3"/>
      <c r="B3" s="1"/>
      <c r="C3" s="1"/>
      <c r="S3" s="72" t="s">
        <v>90</v>
      </c>
      <c r="T3" s="70"/>
      <c r="U3" s="73"/>
      <c r="Y3"/>
      <c r="AB3" s="11" t="s">
        <v>42</v>
      </c>
      <c r="AN3" s="72" t="s">
        <v>90</v>
      </c>
      <c r="AO3" s="70"/>
      <c r="AP3" s="73"/>
      <c r="AY3" s="72" t="s">
        <v>90</v>
      </c>
      <c r="AZ3" s="70"/>
      <c r="BA3" s="73"/>
      <c r="BF3" s="101" t="s">
        <v>97</v>
      </c>
      <c r="BG3" s="101"/>
      <c r="BH3" s="101"/>
      <c r="BI3" s="101"/>
      <c r="BJ3" s="72" t="s">
        <v>90</v>
      </c>
      <c r="BK3" s="70"/>
      <c r="BL3" s="73"/>
    </row>
    <row r="4" spans="1:64" ht="13.5" thickBot="1">
      <c r="A4" s="89"/>
      <c r="B4" s="90" t="s">
        <v>92</v>
      </c>
      <c r="C4" s="91"/>
      <c r="D4" s="75"/>
      <c r="E4" s="75"/>
      <c r="F4" s="84" t="s">
        <v>93</v>
      </c>
      <c r="G4" s="65">
        <v>0.05</v>
      </c>
      <c r="H4" s="84" t="s">
        <v>94</v>
      </c>
      <c r="I4" s="65">
        <v>9</v>
      </c>
      <c r="J4" s="84" t="s">
        <v>95</v>
      </c>
      <c r="K4" s="65">
        <v>10</v>
      </c>
      <c r="S4" s="97" t="s">
        <v>96</v>
      </c>
      <c r="T4" s="98"/>
      <c r="U4" s="63"/>
      <c r="Y4"/>
      <c r="AB4" s="11" t="s">
        <v>43</v>
      </c>
      <c r="AN4" s="97" t="s">
        <v>96</v>
      </c>
      <c r="AO4" s="98"/>
      <c r="AP4" s="63"/>
      <c r="AY4" s="97" t="s">
        <v>96</v>
      </c>
      <c r="AZ4" s="98"/>
      <c r="BA4" s="63"/>
      <c r="BF4" s="101" t="s">
        <v>71</v>
      </c>
      <c r="BG4" s="101"/>
      <c r="BH4" s="101"/>
      <c r="BI4" s="101"/>
      <c r="BJ4" s="97" t="s">
        <v>96</v>
      </c>
      <c r="BK4" s="98"/>
      <c r="BL4" s="63"/>
    </row>
    <row r="5" spans="1:64" ht="13.5" thickBot="1">
      <c r="A5" s="85"/>
      <c r="B5" s="86" t="s">
        <v>98</v>
      </c>
      <c r="C5" s="86"/>
      <c r="D5" s="86"/>
      <c r="E5" s="86"/>
      <c r="F5" s="86"/>
      <c r="G5" s="86"/>
      <c r="H5" s="87"/>
      <c r="I5" s="87"/>
      <c r="J5" s="87"/>
      <c r="K5" s="88"/>
      <c r="N5" t="s">
        <v>99</v>
      </c>
      <c r="Q5" s="3"/>
      <c r="R5" s="2"/>
      <c r="S5" s="99" t="s">
        <v>100</v>
      </c>
      <c r="T5" s="100"/>
      <c r="U5" s="66" t="s">
        <v>101</v>
      </c>
      <c r="V5" s="3"/>
      <c r="Y5" s="19" t="s">
        <v>102</v>
      </c>
      <c r="Z5" s="24"/>
      <c r="AB5" s="85"/>
      <c r="AC5" s="92"/>
      <c r="AD5" s="93" t="s">
        <v>103</v>
      </c>
      <c r="AE5" s="93"/>
      <c r="AF5" s="86"/>
      <c r="AG5" s="94"/>
      <c r="AH5" s="94"/>
      <c r="AI5" s="94"/>
      <c r="AJ5" s="95"/>
      <c r="AN5" s="99" t="s">
        <v>100</v>
      </c>
      <c r="AO5" s="100"/>
      <c r="AP5" s="66" t="s">
        <v>101</v>
      </c>
      <c r="AR5" s="12" t="s">
        <v>104</v>
      </c>
      <c r="AS5" s="21"/>
      <c r="AT5" s="14"/>
      <c r="AY5" s="99" t="s">
        <v>100</v>
      </c>
      <c r="AZ5" s="100"/>
      <c r="BA5" s="66" t="s">
        <v>101</v>
      </c>
      <c r="BC5" s="12" t="s">
        <v>105</v>
      </c>
      <c r="BD5" s="21"/>
      <c r="BE5" s="14"/>
      <c r="BF5" s="101" t="s">
        <v>72</v>
      </c>
      <c r="BG5" s="101"/>
      <c r="BH5" s="101"/>
      <c r="BI5" s="101"/>
      <c r="BJ5" s="99" t="s">
        <v>100</v>
      </c>
      <c r="BK5" s="100"/>
      <c r="BL5" s="66" t="s">
        <v>101</v>
      </c>
    </row>
    <row r="6" spans="1:64" ht="20.25">
      <c r="D6" s="2" t="s">
        <v>106</v>
      </c>
      <c r="J6" s="52" t="s">
        <v>70</v>
      </c>
      <c r="M6" s="41" t="s">
        <v>107</v>
      </c>
      <c r="N6" s="22"/>
      <c r="O6" s="39"/>
      <c r="P6" s="22"/>
      <c r="Q6" s="39"/>
      <c r="R6" s="20"/>
      <c r="S6" s="99" t="s">
        <v>108</v>
      </c>
      <c r="T6" s="100"/>
      <c r="U6" s="67" t="str">
        <f>"@table-wide"</f>
        <v>@table-wide</v>
      </c>
      <c r="V6" s="46" t="s">
        <v>109</v>
      </c>
      <c r="X6" s="30" t="s">
        <v>110</v>
      </c>
      <c r="Y6" s="25" t="s">
        <v>111</v>
      </c>
      <c r="Z6" s="26"/>
      <c r="AN6" s="99" t="s">
        <v>108</v>
      </c>
      <c r="AO6" s="100"/>
      <c r="AP6" s="67" t="str">
        <f>"@table-wide"</f>
        <v>@table-wide</v>
      </c>
      <c r="AR6" s="35" t="s">
        <v>112</v>
      </c>
      <c r="AS6" s="5"/>
      <c r="AT6" s="36"/>
      <c r="AY6" s="99" t="s">
        <v>108</v>
      </c>
      <c r="AZ6" s="100"/>
      <c r="BA6" s="67" t="str">
        <f>"@table-wide"</f>
        <v>@table-wide</v>
      </c>
      <c r="BC6" s="35" t="s">
        <v>113</v>
      </c>
      <c r="BD6" s="5"/>
      <c r="BE6" s="36"/>
      <c r="BF6" s="101" t="s">
        <v>73</v>
      </c>
      <c r="BG6" s="101"/>
      <c r="BH6" s="101"/>
      <c r="BI6" s="101"/>
      <c r="BJ6" s="99" t="s">
        <v>108</v>
      </c>
      <c r="BK6" s="100"/>
      <c r="BL6" s="67" t="str">
        <f>"@table-wide"</f>
        <v>@table-wide</v>
      </c>
    </row>
    <row r="7" spans="1:64">
      <c r="B7" s="2"/>
      <c r="C7" s="2"/>
      <c r="D7" s="17" t="s">
        <v>114</v>
      </c>
      <c r="E7" s="18"/>
      <c r="F7" s="17" t="s">
        <v>115</v>
      </c>
      <c r="G7" s="18"/>
      <c r="H7" s="17" t="s">
        <v>116</v>
      </c>
      <c r="I7" s="18"/>
      <c r="J7" s="16" t="s">
        <v>117</v>
      </c>
      <c r="K7" s="15"/>
      <c r="M7" s="40" t="s">
        <v>118</v>
      </c>
      <c r="N7" s="20"/>
      <c r="O7" s="40" t="s">
        <v>119</v>
      </c>
      <c r="P7" s="20"/>
      <c r="Q7" s="40" t="s">
        <v>120</v>
      </c>
      <c r="R7" s="20"/>
      <c r="S7" s="61" t="s">
        <v>121</v>
      </c>
      <c r="T7" s="66" t="s">
        <v>0</v>
      </c>
      <c r="U7" s="68" t="s">
        <v>1</v>
      </c>
      <c r="V7" s="47" t="s">
        <v>2</v>
      </c>
      <c r="X7" s="32" t="s">
        <v>3</v>
      </c>
      <c r="Y7" s="28" t="s">
        <v>4</v>
      </c>
      <c r="Z7" s="29"/>
      <c r="AA7" s="2"/>
      <c r="AF7" s="2"/>
      <c r="AL7" s="56" t="s">
        <v>5</v>
      </c>
      <c r="AM7" s="57"/>
      <c r="AN7" s="61" t="s">
        <v>121</v>
      </c>
      <c r="AO7" s="66" t="s">
        <v>0</v>
      </c>
      <c r="AP7" s="68" t="s">
        <v>1</v>
      </c>
      <c r="AR7" s="7" t="s">
        <v>6</v>
      </c>
      <c r="AS7" s="13"/>
      <c r="AT7" s="13" t="s">
        <v>7</v>
      </c>
      <c r="AU7" s="33"/>
      <c r="AV7" s="33"/>
      <c r="AW7" s="13"/>
      <c r="AX7" s="55"/>
      <c r="AY7" s="61" t="s">
        <v>121</v>
      </c>
      <c r="AZ7" s="66" t="s">
        <v>0</v>
      </c>
      <c r="BA7" s="68" t="s">
        <v>1</v>
      </c>
      <c r="BC7" s="7" t="s">
        <v>6</v>
      </c>
      <c r="BD7" s="13"/>
      <c r="BE7" s="13" t="s">
        <v>7</v>
      </c>
      <c r="BF7" s="33"/>
      <c r="BG7" s="33"/>
      <c r="BH7" s="13"/>
      <c r="BI7" s="8"/>
      <c r="BJ7" s="61" t="s">
        <v>121</v>
      </c>
      <c r="BK7" s="66" t="s">
        <v>0</v>
      </c>
      <c r="BL7" s="68" t="s">
        <v>1</v>
      </c>
    </row>
    <row r="8" spans="1:64" ht="20.25">
      <c r="A8" s="37" t="s">
        <v>8</v>
      </c>
      <c r="B8" s="37" t="s">
        <v>9</v>
      </c>
      <c r="C8" s="2"/>
      <c r="D8" s="37" t="s">
        <v>10</v>
      </c>
      <c r="E8" s="15" t="s">
        <v>11</v>
      </c>
      <c r="F8" s="37" t="s">
        <v>10</v>
      </c>
      <c r="G8" s="10" t="s">
        <v>12</v>
      </c>
      <c r="H8" s="37" t="s">
        <v>10</v>
      </c>
      <c r="I8" s="10" t="s">
        <v>12</v>
      </c>
      <c r="J8" s="37" t="s">
        <v>10</v>
      </c>
      <c r="K8" s="10" t="s">
        <v>12</v>
      </c>
      <c r="M8" s="51" t="s">
        <v>13</v>
      </c>
      <c r="N8" s="15" t="s">
        <v>14</v>
      </c>
      <c r="O8" s="51" t="s">
        <v>13</v>
      </c>
      <c r="P8" s="15" t="s">
        <v>14</v>
      </c>
      <c r="Q8" s="51" t="s">
        <v>13</v>
      </c>
      <c r="R8" s="15" t="s">
        <v>14</v>
      </c>
      <c r="S8" s="62" t="s">
        <v>15</v>
      </c>
      <c r="T8" s="71" t="s">
        <v>16</v>
      </c>
      <c r="U8" s="62">
        <f>$G$4</f>
        <v>0.05</v>
      </c>
      <c r="V8" s="48" t="s">
        <v>17</v>
      </c>
      <c r="X8" s="31" t="s">
        <v>18</v>
      </c>
      <c r="Y8" s="52" t="s">
        <v>69</v>
      </c>
      <c r="Z8" s="27" t="s">
        <v>19</v>
      </c>
      <c r="AA8" s="4"/>
      <c r="AB8" s="4" t="s">
        <v>8</v>
      </c>
      <c r="AC8" s="4" t="s">
        <v>9</v>
      </c>
      <c r="AD8" s="4" t="s">
        <v>20</v>
      </c>
      <c r="AE8" s="4" t="s">
        <v>21</v>
      </c>
      <c r="AF8" s="4" t="s">
        <v>22</v>
      </c>
      <c r="AG8" s="4" t="s">
        <v>23</v>
      </c>
      <c r="AH8" s="4" t="s">
        <v>24</v>
      </c>
      <c r="AI8" s="43" t="s">
        <v>25</v>
      </c>
      <c r="AJ8" s="43" t="s">
        <v>74</v>
      </c>
      <c r="AK8" s="49"/>
      <c r="AL8" s="50" t="s">
        <v>27</v>
      </c>
      <c r="AM8" s="54" t="s">
        <v>14</v>
      </c>
      <c r="AN8" s="62" t="s">
        <v>15</v>
      </c>
      <c r="AO8" s="71" t="s">
        <v>16</v>
      </c>
      <c r="AP8" s="62">
        <f>$G$4</f>
        <v>0.05</v>
      </c>
      <c r="AR8" s="9" t="s">
        <v>25</v>
      </c>
      <c r="AS8" s="4" t="s">
        <v>24</v>
      </c>
      <c r="AT8" s="4" t="s">
        <v>28</v>
      </c>
      <c r="AU8" s="34" t="s">
        <v>29</v>
      </c>
      <c r="AV8" s="34" t="s">
        <v>27</v>
      </c>
      <c r="AW8" s="4" t="s">
        <v>12</v>
      </c>
      <c r="AX8" s="54" t="s">
        <v>30</v>
      </c>
      <c r="AY8" s="62" t="s">
        <v>15</v>
      </c>
      <c r="AZ8" s="71" t="s">
        <v>16</v>
      </c>
      <c r="BA8" s="62">
        <f>$G$4</f>
        <v>0.05</v>
      </c>
      <c r="BC8" s="9" t="s">
        <v>26</v>
      </c>
      <c r="BD8" s="4" t="s">
        <v>24</v>
      </c>
      <c r="BE8" s="4" t="s">
        <v>28</v>
      </c>
      <c r="BF8" s="34" t="s">
        <v>31</v>
      </c>
      <c r="BG8" s="34" t="s">
        <v>27</v>
      </c>
      <c r="BH8" s="4" t="s">
        <v>12</v>
      </c>
      <c r="BI8" s="10" t="s">
        <v>32</v>
      </c>
      <c r="BJ8" s="62" t="s">
        <v>15</v>
      </c>
      <c r="BK8" s="71" t="s">
        <v>16</v>
      </c>
      <c r="BL8" s="62">
        <f>$G$4</f>
        <v>0.05</v>
      </c>
    </row>
    <row r="9" spans="1:64" s="104" customFormat="1">
      <c r="A9" s="96" t="s">
        <v>33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M9" s="105" t="e">
        <f t="shared" ref="M9:M18" si="0">$D9/$H9</f>
        <v>#DIV/0!</v>
      </c>
      <c r="N9" s="104" t="e">
        <f t="shared" ref="N9:N18" si="1">FDIST(M9,$E9,$I9)</f>
        <v>#DIV/0!</v>
      </c>
      <c r="O9" s="105" t="e">
        <f t="shared" ref="O9:O18" si="2">$F9/$H9</f>
        <v>#DIV/0!</v>
      </c>
      <c r="P9" s="104" t="e">
        <f t="shared" ref="P9:P18" si="3">FDIST(O9,$G9,$I9)</f>
        <v>#DIV/0!</v>
      </c>
      <c r="Q9" s="105" t="e">
        <f t="shared" ref="Q9:Q18" si="4">$H9/$J9</f>
        <v>#DIV/0!</v>
      </c>
      <c r="R9" s="104" t="e">
        <f t="shared" ref="R9:R18" si="5">FDIST(Q9,$I9,$K9)</f>
        <v>#DIV/0!</v>
      </c>
      <c r="S9" s="106">
        <f t="shared" ref="S9:S18" si="6">$G$4/T9</f>
        <v>5.5555555555555558E-3</v>
      </c>
      <c r="T9" s="107">
        <f t="shared" ref="T9:T18" si="7">IF(ROW(T9)&gt;10,T8-1,$I$4)</f>
        <v>9</v>
      </c>
      <c r="U9" s="108" t="e">
        <f t="shared" ref="U9:U18" si="8">IF(ROW(U9)&gt;$K$4,IF(AND(R9&lt;S9,LEN(U8)=1),"*","n.s."),IF(R9&lt;S9,"*","n.s."))</f>
        <v>#DIV/0!</v>
      </c>
      <c r="V9" s="105" t="e">
        <f t="shared" ref="V9:V18" si="9">100*$J9/$H9</f>
        <v>#DIV/0!</v>
      </c>
      <c r="X9" s="109">
        <f t="shared" ref="X9:X18" si="10">($K9/(($E9+1)*($G9+1)))+1</f>
        <v>1</v>
      </c>
      <c r="Y9" s="110">
        <f t="shared" ref="Y9:Y18" si="11">($H9-$J9)/X9</f>
        <v>0</v>
      </c>
      <c r="Z9" s="111" t="e">
        <f t="shared" ref="Z9:Z18" si="12">(($H9-$J9)*($H9-$J9))/((($H9*$H9)/$I9)+(($J9*$J9)/$K9))</f>
        <v>#DIV/0!</v>
      </c>
      <c r="AB9" s="102" t="str">
        <f t="shared" ref="AB9:AB18" si="13">$A9</f>
        <v>FORUMULAE!!!  DO NOT ENTER VALUES IN THIS ROW --&gt;</v>
      </c>
      <c r="AC9" s="102">
        <f t="shared" ref="AC9:AC18" si="14">$B9</f>
        <v>0</v>
      </c>
      <c r="AH9" s="103"/>
      <c r="AI9" s="112"/>
      <c r="AJ9" s="112"/>
      <c r="AK9" s="112"/>
      <c r="AL9" s="112" t="e">
        <f t="shared" ref="AL9:AL18" si="15">$AF9/$AG9</f>
        <v>#DIV/0!</v>
      </c>
      <c r="AM9" s="106" t="e">
        <f t="shared" ref="AM9:AM18" si="16">TDIST(ABS($AL9),($AH9-1),2)</f>
        <v>#DIV/0!</v>
      </c>
      <c r="AN9" s="106">
        <f t="shared" ref="AN9:AN18" si="17">$G$4/AO9</f>
        <v>5.5555555555555558E-3</v>
      </c>
      <c r="AO9" s="107">
        <f t="shared" ref="AO9:AO18" si="18">IF(ROW(AO9)&gt;10,AO8-1,$I$4)</f>
        <v>9</v>
      </c>
      <c r="AP9" s="108" t="e">
        <f t="shared" ref="AP9:AP18" si="19">IF(ROW(AP9)&gt;$K$4,IF(AND(AM9&lt;AN9,LEN(AP8)=1),"*","n.s."),IF(AM9&lt;AN9,"*","n.s."))</f>
        <v>#DIV/0!</v>
      </c>
      <c r="AR9" s="113">
        <f t="shared" ref="AR9:AR18" si="20">$AI9</f>
        <v>0</v>
      </c>
      <c r="AS9" s="104">
        <f t="shared" ref="AS9:AS18" si="21">$AH9</f>
        <v>0</v>
      </c>
      <c r="AT9" s="103">
        <v>0</v>
      </c>
      <c r="AU9" s="113">
        <f t="shared" ref="AU9:AU18" si="22">SQRT((6*$AS9*($AS9-1))/(($AS9-2)*($AS9+1)*($AS9+3)))</f>
        <v>0</v>
      </c>
      <c r="AV9" s="113" t="e">
        <f t="shared" ref="AV9:AV18" si="23">(AR9-AT9)/AU9</f>
        <v>#DIV/0!</v>
      </c>
      <c r="AW9" s="103" t="s">
        <v>34</v>
      </c>
      <c r="AX9" s="106" t="e">
        <f t="shared" ref="AX9:AX18" si="24">TDIST(ABS(AV9),10000,2)</f>
        <v>#DIV/0!</v>
      </c>
      <c r="AY9" s="106">
        <f t="shared" ref="AY9:AY18" si="25">$G$4/AZ9</f>
        <v>5.5555555555555558E-3</v>
      </c>
      <c r="AZ9" s="107">
        <f t="shared" ref="AZ9:AZ18" si="26">IF(ROW(AZ9)&gt;10,AZ8-1,$I$4)</f>
        <v>9</v>
      </c>
      <c r="BA9" s="108" t="e">
        <f t="shared" ref="BA9:BA18" si="27">IF(ROW(BA9)&gt;$K$4,IF(AND(AX9&lt;AY9,LEN(BA8)=1),"*","n.s."),IF(AX9&lt;AY9,"*","n.s."))</f>
        <v>#DIV/0!</v>
      </c>
      <c r="BC9" s="113">
        <f t="shared" ref="BC9:BC18" si="28">$AJ9</f>
        <v>0</v>
      </c>
      <c r="BD9" s="104">
        <f t="shared" ref="BD9:BD18" si="29">$AH9</f>
        <v>0</v>
      </c>
      <c r="BE9" s="103">
        <v>0</v>
      </c>
      <c r="BF9" s="113">
        <f t="shared" ref="BF9:BF18" si="30">SQRT((24*$BD9*($BD9-1)*($BD9-1))/(($BD9-3)*($BD9-2)*($BD9+3)*($BD9+5)))</f>
        <v>0</v>
      </c>
      <c r="BG9" s="113" t="e">
        <f t="shared" ref="BG9:BG18" si="31">(BC9-BE9)/BF9</f>
        <v>#DIV/0!</v>
      </c>
      <c r="BH9" s="103" t="s">
        <v>34</v>
      </c>
      <c r="BI9" s="104" t="e">
        <f t="shared" ref="BI9:BI18" si="32">TDIST(ABS(BG9),10000,2)</f>
        <v>#DIV/0!</v>
      </c>
      <c r="BJ9" s="106">
        <f t="shared" ref="BJ9:BJ18" si="33">$G$4/BK9</f>
        <v>5.5555555555555558E-3</v>
      </c>
      <c r="BK9" s="107">
        <f t="shared" ref="BK9:BK18" si="34">IF(ROW(BK9)&gt;10,BK8-1,$I$4)</f>
        <v>9</v>
      </c>
      <c r="BL9" s="108" t="e">
        <f t="shared" ref="BL9:BL18" si="35">IF(ROW(BL9)&gt;$K$4,IF(AND(BI9&lt;BJ9,LEN(BL8)=1),"*","n.s."),IF(BI9&lt;BJ9,"*","n.s."))</f>
        <v>#DIV/0!</v>
      </c>
    </row>
    <row r="10" spans="1:64" s="104" customFormat="1" ht="15">
      <c r="A10" s="117" t="s">
        <v>132</v>
      </c>
      <c r="B10" s="117" t="s">
        <v>128</v>
      </c>
      <c r="C10" s="117"/>
      <c r="D10" s="117">
        <v>0.61939999999999995</v>
      </c>
      <c r="E10" s="117">
        <v>1</v>
      </c>
      <c r="F10" s="117">
        <v>10.62</v>
      </c>
      <c r="G10" s="117">
        <v>31</v>
      </c>
      <c r="H10" s="117">
        <v>0.3226</v>
      </c>
      <c r="I10" s="117">
        <v>31</v>
      </c>
      <c r="J10" s="117">
        <v>3.5680000000000003E-2</v>
      </c>
      <c r="K10" s="117">
        <v>576</v>
      </c>
      <c r="L10"/>
      <c r="M10" s="105">
        <f t="shared" si="0"/>
        <v>1.9200247985120891</v>
      </c>
      <c r="N10" s="104">
        <f t="shared" si="1"/>
        <v>0.17574283203676017</v>
      </c>
      <c r="O10" s="105">
        <f t="shared" si="2"/>
        <v>32.920024798512088</v>
      </c>
      <c r="P10" s="104">
        <f t="shared" si="3"/>
        <v>1.9268861542942364E-16</v>
      </c>
      <c r="Q10" s="105">
        <f t="shared" si="4"/>
        <v>9.0414798206278011</v>
      </c>
      <c r="R10" s="104">
        <f t="shared" si="5"/>
        <v>5.3028685138960363E-33</v>
      </c>
      <c r="S10" s="106">
        <f t="shared" si="6"/>
        <v>5.5555555555555558E-3</v>
      </c>
      <c r="T10" s="107">
        <f t="shared" si="7"/>
        <v>9</v>
      </c>
      <c r="U10" s="108" t="str">
        <f t="shared" si="8"/>
        <v>*</v>
      </c>
      <c r="V10" s="105">
        <f t="shared" si="9"/>
        <v>11.060136391816492</v>
      </c>
      <c r="X10" s="109">
        <f t="shared" si="10"/>
        <v>10</v>
      </c>
      <c r="Y10" s="110">
        <f t="shared" si="11"/>
        <v>2.8692000000000002E-2</v>
      </c>
      <c r="Z10" s="111">
        <f t="shared" si="12"/>
        <v>24.505794436103159</v>
      </c>
      <c r="AB10" s="102" t="str">
        <f t="shared" si="13"/>
        <v>femlength</v>
      </c>
      <c r="AC10" s="102" t="str">
        <f t="shared" si="14"/>
        <v>MXM3</v>
      </c>
      <c r="AD10">
        <v>12.42</v>
      </c>
      <c r="AE10">
        <v>0.13</v>
      </c>
      <c r="AF10">
        <v>-0.06</v>
      </c>
      <c r="AG10">
        <v>0.04</v>
      </c>
      <c r="AH10">
        <v>32</v>
      </c>
      <c r="AI10">
        <v>1.4554050000000001E-2</v>
      </c>
      <c r="AJ10">
        <v>0.71314650000000002</v>
      </c>
      <c r="AK10" s="42"/>
      <c r="AL10" s="112">
        <f t="shared" si="15"/>
        <v>-1.5</v>
      </c>
      <c r="AM10" s="106">
        <f t="shared" si="16"/>
        <v>0.14373108142452573</v>
      </c>
      <c r="AN10" s="106">
        <f t="shared" si="17"/>
        <v>5.5555555555555558E-3</v>
      </c>
      <c r="AO10" s="107">
        <f t="shared" si="18"/>
        <v>9</v>
      </c>
      <c r="AP10" s="108" t="str">
        <f t="shared" si="19"/>
        <v>n.s.</v>
      </c>
      <c r="AR10" s="113">
        <f t="shared" si="20"/>
        <v>1.4554050000000001E-2</v>
      </c>
      <c r="AS10" s="104">
        <f t="shared" si="21"/>
        <v>32</v>
      </c>
      <c r="AT10" s="103">
        <v>0</v>
      </c>
      <c r="AU10" s="113">
        <f t="shared" si="22"/>
        <v>0.41445734614661106</v>
      </c>
      <c r="AV10" s="113">
        <f t="shared" si="23"/>
        <v>3.5115917561397543E-2</v>
      </c>
      <c r="AW10" s="103" t="s">
        <v>34</v>
      </c>
      <c r="AX10" s="106">
        <f t="shared" si="24"/>
        <v>0.9719880097456155</v>
      </c>
      <c r="AY10" s="106">
        <f t="shared" si="25"/>
        <v>5.5555555555555558E-3</v>
      </c>
      <c r="AZ10" s="107">
        <f t="shared" si="26"/>
        <v>9</v>
      </c>
      <c r="BA10" s="108" t="str">
        <f t="shared" si="27"/>
        <v>n.s.</v>
      </c>
      <c r="BC10" s="113">
        <f t="shared" si="28"/>
        <v>0.71314650000000002</v>
      </c>
      <c r="BD10" s="104">
        <f t="shared" si="29"/>
        <v>32</v>
      </c>
      <c r="BE10" s="103">
        <v>0</v>
      </c>
      <c r="BF10" s="113">
        <f t="shared" si="30"/>
        <v>0.80937128680814108</v>
      </c>
      <c r="BG10" s="113">
        <f t="shared" si="31"/>
        <v>0.88111168708786813</v>
      </c>
      <c r="BH10" s="103" t="s">
        <v>34</v>
      </c>
      <c r="BI10" s="104">
        <f t="shared" si="32"/>
        <v>0.37827854837973784</v>
      </c>
      <c r="BJ10" s="106">
        <f t="shared" si="33"/>
        <v>5.5555555555555558E-3</v>
      </c>
      <c r="BK10" s="107">
        <f t="shared" si="34"/>
        <v>9</v>
      </c>
      <c r="BL10" s="108" t="str">
        <f t="shared" si="35"/>
        <v>n.s.</v>
      </c>
    </row>
    <row r="11" spans="1:64" s="104" customFormat="1" ht="15">
      <c r="A11" s="117" t="s">
        <v>132</v>
      </c>
      <c r="B11" s="117" t="s">
        <v>124</v>
      </c>
      <c r="C11" s="117"/>
      <c r="D11" s="117">
        <v>1.0847</v>
      </c>
      <c r="E11" s="117">
        <v>1</v>
      </c>
      <c r="F11" s="117">
        <v>19.2</v>
      </c>
      <c r="G11" s="117">
        <v>19</v>
      </c>
      <c r="H11" s="117">
        <v>0.4173</v>
      </c>
      <c r="I11" s="117">
        <v>19</v>
      </c>
      <c r="J11" s="117">
        <v>3.6810000000000002E-2</v>
      </c>
      <c r="K11" s="117">
        <v>360</v>
      </c>
      <c r="L11"/>
      <c r="M11" s="105">
        <f t="shared" si="0"/>
        <v>2.5993290198897676</v>
      </c>
      <c r="N11" s="104">
        <f t="shared" si="1"/>
        <v>0.12339591754141649</v>
      </c>
      <c r="O11" s="105">
        <f t="shared" si="2"/>
        <v>46.010064701653484</v>
      </c>
      <c r="P11" s="104">
        <f t="shared" si="3"/>
        <v>5.2226111493644304E-12</v>
      </c>
      <c r="Q11" s="105">
        <f t="shared" si="4"/>
        <v>11.336593317033413</v>
      </c>
      <c r="R11" s="104">
        <f t="shared" si="5"/>
        <v>8.6590026418578555E-27</v>
      </c>
      <c r="S11" s="106">
        <f t="shared" si="6"/>
        <v>6.2500000000000003E-3</v>
      </c>
      <c r="T11" s="107">
        <f t="shared" si="7"/>
        <v>8</v>
      </c>
      <c r="U11" s="108" t="str">
        <f t="shared" si="8"/>
        <v>*</v>
      </c>
      <c r="V11" s="105">
        <f t="shared" si="9"/>
        <v>8.8209920920201288</v>
      </c>
      <c r="X11" s="109">
        <f t="shared" si="10"/>
        <v>10</v>
      </c>
      <c r="Y11" s="110">
        <f t="shared" si="11"/>
        <v>3.8048999999999999E-2</v>
      </c>
      <c r="Z11" s="111">
        <f t="shared" si="12"/>
        <v>15.789377698818956</v>
      </c>
      <c r="AB11" s="102" t="str">
        <f t="shared" si="13"/>
        <v>femlength</v>
      </c>
      <c r="AC11" s="102" t="str">
        <f t="shared" si="14"/>
        <v>MNM3</v>
      </c>
      <c r="AD11">
        <v>15.43</v>
      </c>
      <c r="AE11">
        <v>0.22</v>
      </c>
      <c r="AF11">
        <v>-0.1</v>
      </c>
      <c r="AG11">
        <v>0.06</v>
      </c>
      <c r="AH11">
        <v>20</v>
      </c>
      <c r="AI11">
        <v>0.45653860000000002</v>
      </c>
      <c r="AJ11">
        <v>0.58432550000000005</v>
      </c>
      <c r="AK11" s="42"/>
      <c r="AL11" s="112">
        <f t="shared" si="15"/>
        <v>-1.6666666666666667</v>
      </c>
      <c r="AM11" s="106">
        <f t="shared" si="16"/>
        <v>0.11198091415054617</v>
      </c>
      <c r="AN11" s="106">
        <f t="shared" si="17"/>
        <v>6.2500000000000003E-3</v>
      </c>
      <c r="AO11" s="107">
        <f t="shared" si="18"/>
        <v>8</v>
      </c>
      <c r="AP11" s="108" t="str">
        <f t="shared" si="19"/>
        <v>n.s.</v>
      </c>
      <c r="AR11" s="113">
        <f t="shared" si="20"/>
        <v>0.45653860000000002</v>
      </c>
      <c r="AS11" s="104">
        <f t="shared" si="21"/>
        <v>20</v>
      </c>
      <c r="AT11" s="103">
        <v>0</v>
      </c>
      <c r="AU11" s="113">
        <f t="shared" si="22"/>
        <v>0.51210333670775743</v>
      </c>
      <c r="AV11" s="113">
        <f t="shared" si="23"/>
        <v>0.89149702272011044</v>
      </c>
      <c r="AW11" s="103" t="s">
        <v>34</v>
      </c>
      <c r="AX11" s="106">
        <f t="shared" si="24"/>
        <v>0.37268403756193358</v>
      </c>
      <c r="AY11" s="106">
        <f t="shared" si="25"/>
        <v>6.2500000000000003E-3</v>
      </c>
      <c r="AZ11" s="107">
        <f t="shared" si="26"/>
        <v>8</v>
      </c>
      <c r="BA11" s="108" t="str">
        <f t="shared" si="27"/>
        <v>n.s.</v>
      </c>
      <c r="BC11" s="113">
        <f t="shared" si="28"/>
        <v>0.58432550000000005</v>
      </c>
      <c r="BD11" s="104">
        <f t="shared" si="29"/>
        <v>20</v>
      </c>
      <c r="BE11" s="103">
        <v>0</v>
      </c>
      <c r="BF11" s="113">
        <f t="shared" si="30"/>
        <v>0.99238361254184504</v>
      </c>
      <c r="BG11" s="113">
        <f t="shared" si="31"/>
        <v>0.58881010590585636</v>
      </c>
      <c r="BH11" s="103" t="s">
        <v>34</v>
      </c>
      <c r="BI11" s="104">
        <f t="shared" si="32"/>
        <v>0.55600196526580992</v>
      </c>
      <c r="BJ11" s="106">
        <f t="shared" si="33"/>
        <v>6.2500000000000003E-3</v>
      </c>
      <c r="BK11" s="107">
        <f t="shared" si="34"/>
        <v>8</v>
      </c>
      <c r="BL11" s="108" t="str">
        <f t="shared" si="35"/>
        <v>n.s.</v>
      </c>
    </row>
    <row r="12" spans="1:64" s="104" customFormat="1" ht="15">
      <c r="A12" s="117" t="s">
        <v>132</v>
      </c>
      <c r="B12" s="117" t="s">
        <v>127</v>
      </c>
      <c r="C12" s="117"/>
      <c r="D12" s="117">
        <v>4.1059999999999999</v>
      </c>
      <c r="E12" s="117">
        <v>1</v>
      </c>
      <c r="F12" s="117">
        <v>14.02</v>
      </c>
      <c r="G12" s="117">
        <v>31</v>
      </c>
      <c r="H12" s="117">
        <v>0.48099999999999998</v>
      </c>
      <c r="I12" s="117">
        <v>31</v>
      </c>
      <c r="J12" s="117">
        <v>4.4979999999999999E-2</v>
      </c>
      <c r="K12" s="117">
        <v>576</v>
      </c>
      <c r="L12"/>
      <c r="M12" s="105">
        <f t="shared" si="0"/>
        <v>8.5363825363825363</v>
      </c>
      <c r="N12" s="104">
        <f t="shared" si="1"/>
        <v>6.4427630050633324E-3</v>
      </c>
      <c r="O12" s="105">
        <f t="shared" si="2"/>
        <v>29.147609147609149</v>
      </c>
      <c r="P12" s="104">
        <f t="shared" si="3"/>
        <v>1.1377795684976325E-15</v>
      </c>
      <c r="Q12" s="105">
        <f t="shared" si="4"/>
        <v>10.693641618497109</v>
      </c>
      <c r="R12" s="104">
        <f t="shared" si="5"/>
        <v>1.3867371717449967E-39</v>
      </c>
      <c r="S12" s="106">
        <f t="shared" si="6"/>
        <v>7.1428571428571435E-3</v>
      </c>
      <c r="T12" s="107">
        <f t="shared" si="7"/>
        <v>7</v>
      </c>
      <c r="U12" s="108" t="str">
        <f t="shared" si="8"/>
        <v>*</v>
      </c>
      <c r="V12" s="105">
        <f t="shared" si="9"/>
        <v>9.3513513513513526</v>
      </c>
      <c r="X12" s="109">
        <f t="shared" si="10"/>
        <v>10</v>
      </c>
      <c r="Y12" s="110">
        <f t="shared" si="11"/>
        <v>4.3601999999999995E-2</v>
      </c>
      <c r="Z12" s="111">
        <f t="shared" si="12"/>
        <v>25.461267189028533</v>
      </c>
      <c r="AB12" s="102" t="str">
        <f t="shared" si="13"/>
        <v>femlength</v>
      </c>
      <c r="AC12" s="102" t="str">
        <f t="shared" si="14"/>
        <v>MXM2</v>
      </c>
      <c r="AD12">
        <v>11.83</v>
      </c>
      <c r="AE12">
        <v>0.15</v>
      </c>
      <c r="AF12">
        <v>-0.16</v>
      </c>
      <c r="AG12">
        <v>0.05</v>
      </c>
      <c r="AH12">
        <v>32</v>
      </c>
      <c r="AI12">
        <v>0.18487429999999999</v>
      </c>
      <c r="AJ12">
        <v>0.4079083</v>
      </c>
      <c r="AK12" s="42"/>
      <c r="AL12" s="112">
        <f t="shared" si="15"/>
        <v>-3.1999999999999997</v>
      </c>
      <c r="AM12" s="106">
        <f t="shared" si="16"/>
        <v>3.164844706017239E-3</v>
      </c>
      <c r="AN12" s="106">
        <f t="shared" si="17"/>
        <v>7.1428571428571435E-3</v>
      </c>
      <c r="AO12" s="107">
        <f t="shared" si="18"/>
        <v>7</v>
      </c>
      <c r="AP12" s="108" t="str">
        <f t="shared" si="19"/>
        <v>n.s.</v>
      </c>
      <c r="AR12" s="113">
        <f t="shared" si="20"/>
        <v>0.18487429999999999</v>
      </c>
      <c r="AS12" s="104">
        <f t="shared" si="21"/>
        <v>32</v>
      </c>
      <c r="AT12" s="103">
        <v>0</v>
      </c>
      <c r="AU12" s="113">
        <f t="shared" si="22"/>
        <v>0.41445734614661106</v>
      </c>
      <c r="AV12" s="113">
        <f t="shared" si="23"/>
        <v>0.44606351345646589</v>
      </c>
      <c r="AW12" s="103" t="s">
        <v>34</v>
      </c>
      <c r="AX12" s="106">
        <f t="shared" si="24"/>
        <v>0.65556102549814499</v>
      </c>
      <c r="AY12" s="106">
        <f t="shared" si="25"/>
        <v>7.1428571428571435E-3</v>
      </c>
      <c r="AZ12" s="107">
        <f t="shared" si="26"/>
        <v>7</v>
      </c>
      <c r="BA12" s="108" t="str">
        <f t="shared" si="27"/>
        <v>n.s.</v>
      </c>
      <c r="BC12" s="113">
        <f t="shared" si="28"/>
        <v>0.4079083</v>
      </c>
      <c r="BD12" s="104">
        <f t="shared" si="29"/>
        <v>32</v>
      </c>
      <c r="BE12" s="103">
        <v>0</v>
      </c>
      <c r="BF12" s="113">
        <f t="shared" si="30"/>
        <v>0.80937128680814108</v>
      </c>
      <c r="BG12" s="113">
        <f t="shared" si="31"/>
        <v>0.50398167892592094</v>
      </c>
      <c r="BH12" s="103" t="s">
        <v>34</v>
      </c>
      <c r="BI12" s="104">
        <f t="shared" si="32"/>
        <v>0.6142853543273793</v>
      </c>
      <c r="BJ12" s="106">
        <f t="shared" si="33"/>
        <v>7.1428571428571435E-3</v>
      </c>
      <c r="BK12" s="107">
        <f t="shared" si="34"/>
        <v>7</v>
      </c>
      <c r="BL12" s="108" t="str">
        <f t="shared" si="35"/>
        <v>n.s.</v>
      </c>
    </row>
    <row r="13" spans="1:64" s="104" customFormat="1" ht="15">
      <c r="A13" s="117" t="s">
        <v>132</v>
      </c>
      <c r="B13" s="117" t="s">
        <v>122</v>
      </c>
      <c r="C13" s="117"/>
      <c r="D13" s="117">
        <v>2.8934000000000002</v>
      </c>
      <c r="E13" s="117">
        <v>1</v>
      </c>
      <c r="F13" s="117">
        <v>7.2140000000000004</v>
      </c>
      <c r="G13" s="117">
        <v>19</v>
      </c>
      <c r="H13" s="117">
        <v>0.3654</v>
      </c>
      <c r="I13" s="117">
        <v>19</v>
      </c>
      <c r="J13" s="117">
        <v>2.6280000000000001E-2</v>
      </c>
      <c r="K13" s="117">
        <v>360</v>
      </c>
      <c r="L13"/>
      <c r="M13" s="105">
        <f t="shared" si="0"/>
        <v>7.9184455391351944</v>
      </c>
      <c r="N13" s="104">
        <f t="shared" si="1"/>
        <v>1.1080965813801632E-2</v>
      </c>
      <c r="O13" s="105">
        <f t="shared" si="2"/>
        <v>19.742747673782159</v>
      </c>
      <c r="P13" s="104">
        <f t="shared" si="3"/>
        <v>1.0018321648640373E-8</v>
      </c>
      <c r="Q13" s="105">
        <f t="shared" si="4"/>
        <v>13.904109589041095</v>
      </c>
      <c r="R13" s="104">
        <f t="shared" si="5"/>
        <v>1.0530019845739352E-32</v>
      </c>
      <c r="S13" s="106">
        <f t="shared" si="6"/>
        <v>8.3333333333333332E-3</v>
      </c>
      <c r="T13" s="107">
        <f t="shared" si="7"/>
        <v>6</v>
      </c>
      <c r="U13" s="108" t="str">
        <f t="shared" si="8"/>
        <v>*</v>
      </c>
      <c r="V13" s="105">
        <f t="shared" si="9"/>
        <v>7.1921182266009858</v>
      </c>
      <c r="X13" s="109">
        <f t="shared" si="10"/>
        <v>10</v>
      </c>
      <c r="Y13" s="110">
        <f t="shared" si="11"/>
        <v>3.3911999999999998E-2</v>
      </c>
      <c r="Z13" s="111">
        <f t="shared" si="12"/>
        <v>16.360809024257065</v>
      </c>
      <c r="AB13" s="102" t="str">
        <f t="shared" si="13"/>
        <v>femlength</v>
      </c>
      <c r="AC13" s="102" t="str">
        <f t="shared" si="14"/>
        <v>MNM1</v>
      </c>
      <c r="AD13">
        <v>9.6199999999999992</v>
      </c>
      <c r="AE13">
        <v>0.13</v>
      </c>
      <c r="AF13">
        <v>0.17</v>
      </c>
      <c r="AG13">
        <v>0.06</v>
      </c>
      <c r="AH13">
        <v>20</v>
      </c>
      <c r="AI13">
        <v>0.69052899999999995</v>
      </c>
      <c r="AJ13">
        <v>0.36615579999999998</v>
      </c>
      <c r="AK13" s="42"/>
      <c r="AL13" s="112">
        <f t="shared" si="15"/>
        <v>2.8333333333333335</v>
      </c>
      <c r="AM13" s="106">
        <f t="shared" si="16"/>
        <v>1.0622398143555518E-2</v>
      </c>
      <c r="AN13" s="106">
        <f t="shared" si="17"/>
        <v>8.3333333333333332E-3</v>
      </c>
      <c r="AO13" s="107">
        <f t="shared" si="18"/>
        <v>6</v>
      </c>
      <c r="AP13" s="108" t="str">
        <f t="shared" si="19"/>
        <v>n.s.</v>
      </c>
      <c r="AR13" s="113">
        <f t="shared" si="20"/>
        <v>0.69052899999999995</v>
      </c>
      <c r="AS13" s="104">
        <f t="shared" si="21"/>
        <v>20</v>
      </c>
      <c r="AT13" s="103">
        <v>0</v>
      </c>
      <c r="AU13" s="113">
        <f t="shared" si="22"/>
        <v>0.51210333670775743</v>
      </c>
      <c r="AV13" s="113">
        <f t="shared" si="23"/>
        <v>1.3484173027251039</v>
      </c>
      <c r="AW13" s="103" t="s">
        <v>34</v>
      </c>
      <c r="AX13" s="106">
        <f t="shared" si="24"/>
        <v>0.17755474031478385</v>
      </c>
      <c r="AY13" s="106">
        <f t="shared" si="25"/>
        <v>8.3333333333333332E-3</v>
      </c>
      <c r="AZ13" s="107">
        <f t="shared" si="26"/>
        <v>6</v>
      </c>
      <c r="BA13" s="108" t="str">
        <f t="shared" si="27"/>
        <v>n.s.</v>
      </c>
      <c r="BC13" s="113">
        <f t="shared" si="28"/>
        <v>0.36615579999999998</v>
      </c>
      <c r="BD13" s="104">
        <f t="shared" si="29"/>
        <v>20</v>
      </c>
      <c r="BE13" s="103">
        <v>0</v>
      </c>
      <c r="BF13" s="113">
        <f t="shared" si="30"/>
        <v>0.99238361254184504</v>
      </c>
      <c r="BG13" s="113">
        <f t="shared" si="31"/>
        <v>0.36896598792290169</v>
      </c>
      <c r="BH13" s="103" t="s">
        <v>34</v>
      </c>
      <c r="BI13" s="104">
        <f t="shared" si="32"/>
        <v>0.7121608879862773</v>
      </c>
      <c r="BJ13" s="106">
        <f t="shared" si="33"/>
        <v>8.3333333333333332E-3</v>
      </c>
      <c r="BK13" s="107">
        <f t="shared" si="34"/>
        <v>6</v>
      </c>
      <c r="BL13" s="108" t="str">
        <f t="shared" si="35"/>
        <v>n.s.</v>
      </c>
    </row>
    <row r="14" spans="1:64" s="104" customFormat="1" ht="15">
      <c r="A14" s="117" t="s">
        <v>132</v>
      </c>
      <c r="B14" s="117" t="s">
        <v>126</v>
      </c>
      <c r="C14" s="117"/>
      <c r="D14" s="117">
        <v>2.7431000000000001</v>
      </c>
      <c r="E14" s="117">
        <v>1</v>
      </c>
      <c r="F14" s="117">
        <v>6.6959999999999997</v>
      </c>
      <c r="G14" s="117">
        <v>30</v>
      </c>
      <c r="H14" s="117">
        <v>0.2782</v>
      </c>
      <c r="I14" s="117">
        <v>30</v>
      </c>
      <c r="J14" s="117">
        <v>3.8510000000000003E-2</v>
      </c>
      <c r="K14" s="117">
        <v>558</v>
      </c>
      <c r="L14"/>
      <c r="M14" s="105">
        <f t="shared" si="0"/>
        <v>9.8601725377426312</v>
      </c>
      <c r="N14" s="104">
        <f t="shared" si="1"/>
        <v>3.7773117477563839E-3</v>
      </c>
      <c r="O14" s="105">
        <f t="shared" si="2"/>
        <v>24.069015097052478</v>
      </c>
      <c r="P14" s="104">
        <f t="shared" si="3"/>
        <v>4.68891061505382E-14</v>
      </c>
      <c r="Q14" s="105">
        <f t="shared" si="4"/>
        <v>7.2240976369774081</v>
      </c>
      <c r="R14" s="104">
        <f t="shared" si="5"/>
        <v>1.0270839272502003E-24</v>
      </c>
      <c r="S14" s="106">
        <f t="shared" si="6"/>
        <v>0.01</v>
      </c>
      <c r="T14" s="107">
        <f t="shared" si="7"/>
        <v>5</v>
      </c>
      <c r="U14" s="108" t="str">
        <f t="shared" si="8"/>
        <v>*</v>
      </c>
      <c r="V14" s="105">
        <f t="shared" si="9"/>
        <v>13.842559309849031</v>
      </c>
      <c r="X14" s="109">
        <f t="shared" si="10"/>
        <v>10</v>
      </c>
      <c r="Y14" s="110">
        <f t="shared" si="11"/>
        <v>2.3969000000000001E-2</v>
      </c>
      <c r="Z14" s="111">
        <f t="shared" si="12"/>
        <v>22.246395611984095</v>
      </c>
      <c r="AB14" s="102" t="str">
        <f t="shared" si="13"/>
        <v>femlength</v>
      </c>
      <c r="AC14" s="102" t="str">
        <f t="shared" si="14"/>
        <v>MXM1</v>
      </c>
      <c r="AD14">
        <v>9.66</v>
      </c>
      <c r="AE14">
        <v>0.1</v>
      </c>
      <c r="AF14">
        <v>-0.13</v>
      </c>
      <c r="AG14">
        <v>0.04</v>
      </c>
      <c r="AH14">
        <v>31</v>
      </c>
      <c r="AI14">
        <v>0.1219343</v>
      </c>
      <c r="AJ14">
        <v>0.26193139999999998</v>
      </c>
      <c r="AK14" s="42"/>
      <c r="AL14" s="112">
        <f t="shared" si="15"/>
        <v>-3.25</v>
      </c>
      <c r="AM14" s="106">
        <f t="shared" si="16"/>
        <v>2.846032800866787E-3</v>
      </c>
      <c r="AN14" s="106">
        <f t="shared" si="17"/>
        <v>0.01</v>
      </c>
      <c r="AO14" s="107">
        <f t="shared" si="18"/>
        <v>5</v>
      </c>
      <c r="AP14" s="108" t="str">
        <f t="shared" si="19"/>
        <v>n.s.</v>
      </c>
      <c r="AR14" s="113">
        <f t="shared" si="20"/>
        <v>0.1219343</v>
      </c>
      <c r="AS14" s="104">
        <f t="shared" si="21"/>
        <v>31</v>
      </c>
      <c r="AT14" s="103">
        <v>0</v>
      </c>
      <c r="AU14" s="113">
        <f t="shared" si="22"/>
        <v>0.42053645832306225</v>
      </c>
      <c r="AV14" s="113">
        <f t="shared" si="23"/>
        <v>0.28994941481703423</v>
      </c>
      <c r="AW14" s="103" t="s">
        <v>34</v>
      </c>
      <c r="AX14" s="106">
        <f t="shared" si="24"/>
        <v>0.77186094874034727</v>
      </c>
      <c r="AY14" s="106">
        <f t="shared" si="25"/>
        <v>0.01</v>
      </c>
      <c r="AZ14" s="107">
        <f t="shared" si="26"/>
        <v>5</v>
      </c>
      <c r="BA14" s="108" t="str">
        <f t="shared" si="27"/>
        <v>n.s.</v>
      </c>
      <c r="BC14" s="113">
        <f t="shared" si="28"/>
        <v>0.26193139999999998</v>
      </c>
      <c r="BD14" s="104">
        <f t="shared" si="29"/>
        <v>31</v>
      </c>
      <c r="BE14" s="103">
        <v>0</v>
      </c>
      <c r="BF14" s="113">
        <f t="shared" si="30"/>
        <v>0.8208031207099884</v>
      </c>
      <c r="BG14" s="113">
        <f t="shared" si="31"/>
        <v>0.31911598943901592</v>
      </c>
      <c r="BH14" s="103" t="s">
        <v>34</v>
      </c>
      <c r="BI14" s="104">
        <f t="shared" si="32"/>
        <v>0.74964522463472083</v>
      </c>
      <c r="BJ14" s="106">
        <f t="shared" si="33"/>
        <v>0.01</v>
      </c>
      <c r="BK14" s="107">
        <f t="shared" si="34"/>
        <v>5</v>
      </c>
      <c r="BL14" s="108" t="str">
        <f t="shared" si="35"/>
        <v>n.s.</v>
      </c>
    </row>
    <row r="15" spans="1:64" s="104" customFormat="1" ht="15">
      <c r="A15" s="117" t="s">
        <v>132</v>
      </c>
      <c r="B15" s="117" t="s">
        <v>129</v>
      </c>
      <c r="C15" s="117"/>
      <c r="D15" s="117">
        <v>0.98050000000000004</v>
      </c>
      <c r="E15" s="117">
        <v>1</v>
      </c>
      <c r="F15" s="117">
        <v>1.9390000000000001</v>
      </c>
      <c r="G15" s="117">
        <v>26</v>
      </c>
      <c r="H15" s="117">
        <v>0.41270000000000001</v>
      </c>
      <c r="I15" s="117">
        <v>26</v>
      </c>
      <c r="J15" s="117">
        <v>1.711E-2</v>
      </c>
      <c r="K15" s="117">
        <v>486</v>
      </c>
      <c r="L15"/>
      <c r="M15" s="105">
        <f t="shared" si="0"/>
        <v>2.3758177853162104</v>
      </c>
      <c r="N15" s="104">
        <f t="shared" si="1"/>
        <v>0.13531129132455982</v>
      </c>
      <c r="O15" s="105">
        <f t="shared" si="2"/>
        <v>4.6983280833535259</v>
      </c>
      <c r="P15" s="104">
        <f t="shared" si="3"/>
        <v>9.3389724897860566E-5</v>
      </c>
      <c r="Q15" s="105">
        <f t="shared" si="4"/>
        <v>24.120397428404441</v>
      </c>
      <c r="R15" s="104">
        <f t="shared" si="5"/>
        <v>4.4926258373779132E-71</v>
      </c>
      <c r="S15" s="106">
        <f t="shared" si="6"/>
        <v>1.2500000000000001E-2</v>
      </c>
      <c r="T15" s="107">
        <f t="shared" si="7"/>
        <v>4</v>
      </c>
      <c r="U15" s="108" t="str">
        <f t="shared" si="8"/>
        <v>*</v>
      </c>
      <c r="V15" s="105">
        <f t="shared" si="9"/>
        <v>4.1458686697358855</v>
      </c>
      <c r="X15" s="109">
        <f t="shared" si="10"/>
        <v>10</v>
      </c>
      <c r="Y15" s="110">
        <f t="shared" si="11"/>
        <v>3.9558999999999997E-2</v>
      </c>
      <c r="Z15" s="111">
        <f t="shared" si="12"/>
        <v>23.886641222270519</v>
      </c>
      <c r="AB15" s="102" t="str">
        <f t="shared" si="13"/>
        <v>femlength</v>
      </c>
      <c r="AC15" s="102" t="str">
        <f t="shared" si="14"/>
        <v>MXP3</v>
      </c>
      <c r="AD15">
        <v>6.68</v>
      </c>
      <c r="AE15">
        <v>0.06</v>
      </c>
      <c r="AF15">
        <v>-0.09</v>
      </c>
      <c r="AG15">
        <v>0.06</v>
      </c>
      <c r="AH15">
        <v>27</v>
      </c>
      <c r="AI15">
        <v>0.2404867</v>
      </c>
      <c r="AJ15">
        <v>0.2647679</v>
      </c>
      <c r="AK15" s="42"/>
      <c r="AL15" s="112">
        <f t="shared" si="15"/>
        <v>-1.5</v>
      </c>
      <c r="AM15" s="106">
        <f t="shared" si="16"/>
        <v>0.14566072785406717</v>
      </c>
      <c r="AN15" s="106">
        <f t="shared" si="17"/>
        <v>1.2500000000000001E-2</v>
      </c>
      <c r="AO15" s="107">
        <f t="shared" si="18"/>
        <v>4</v>
      </c>
      <c r="AP15" s="108" t="str">
        <f t="shared" si="19"/>
        <v>n.s.</v>
      </c>
      <c r="AR15" s="113">
        <f t="shared" si="20"/>
        <v>0.2404867</v>
      </c>
      <c r="AS15" s="104">
        <f t="shared" si="21"/>
        <v>27</v>
      </c>
      <c r="AT15" s="103">
        <v>0</v>
      </c>
      <c r="AU15" s="113">
        <f t="shared" si="22"/>
        <v>0.44785201637530736</v>
      </c>
      <c r="AV15" s="113">
        <f t="shared" si="23"/>
        <v>0.53697804454779585</v>
      </c>
      <c r="AW15" s="103" t="s">
        <v>34</v>
      </c>
      <c r="AX15" s="106">
        <f t="shared" si="24"/>
        <v>0.59129472661014515</v>
      </c>
      <c r="AY15" s="106">
        <f t="shared" si="25"/>
        <v>1.2500000000000001E-2</v>
      </c>
      <c r="AZ15" s="107">
        <f t="shared" si="26"/>
        <v>4</v>
      </c>
      <c r="BA15" s="108" t="str">
        <f t="shared" si="27"/>
        <v>n.s.</v>
      </c>
      <c r="BC15" s="113">
        <f t="shared" si="28"/>
        <v>0.2647679</v>
      </c>
      <c r="BD15" s="104">
        <f t="shared" si="29"/>
        <v>27</v>
      </c>
      <c r="BE15" s="103">
        <v>0</v>
      </c>
      <c r="BF15" s="113">
        <f t="shared" si="30"/>
        <v>0.87206651122491796</v>
      </c>
      <c r="BG15" s="113">
        <f t="shared" si="31"/>
        <v>0.30360975521018801</v>
      </c>
      <c r="BH15" s="103" t="s">
        <v>34</v>
      </c>
      <c r="BI15" s="104">
        <f t="shared" si="32"/>
        <v>0.76143153500088645</v>
      </c>
      <c r="BJ15" s="106">
        <f t="shared" si="33"/>
        <v>1.2500000000000001E-2</v>
      </c>
      <c r="BK15" s="107">
        <f t="shared" si="34"/>
        <v>4</v>
      </c>
      <c r="BL15" s="108" t="str">
        <f t="shared" si="35"/>
        <v>n.s.</v>
      </c>
    </row>
    <row r="16" spans="1:64" s="104" customFormat="1" ht="15">
      <c r="A16" s="117" t="s">
        <v>132</v>
      </c>
      <c r="B16" s="117" t="s">
        <v>130</v>
      </c>
      <c r="C16" s="117"/>
      <c r="D16" s="117">
        <v>10.369</v>
      </c>
      <c r="E16" s="117">
        <v>1</v>
      </c>
      <c r="F16" s="117">
        <v>4.0359999999999996</v>
      </c>
      <c r="G16" s="117">
        <v>30</v>
      </c>
      <c r="H16" s="117">
        <v>0.505</v>
      </c>
      <c r="I16" s="117">
        <v>30</v>
      </c>
      <c r="J16" s="117">
        <v>2.2169999999999999E-2</v>
      </c>
      <c r="K16" s="117">
        <v>558</v>
      </c>
      <c r="L16"/>
      <c r="M16" s="105">
        <f t="shared" si="0"/>
        <v>20.532673267326732</v>
      </c>
      <c r="N16" s="104">
        <f t="shared" si="1"/>
        <v>8.7197334382495568E-5</v>
      </c>
      <c r="O16" s="105">
        <f t="shared" si="2"/>
        <v>7.9920792079207912</v>
      </c>
      <c r="P16" s="104">
        <f t="shared" si="3"/>
        <v>8.2127993296298696E-8</v>
      </c>
      <c r="Q16" s="105">
        <f t="shared" si="4"/>
        <v>22.778529544429411</v>
      </c>
      <c r="R16" s="104">
        <f t="shared" si="5"/>
        <v>9.1445000725615823E-78</v>
      </c>
      <c r="S16" s="106">
        <f t="shared" si="6"/>
        <v>1.6666666666666666E-2</v>
      </c>
      <c r="T16" s="107">
        <f t="shared" si="7"/>
        <v>3</v>
      </c>
      <c r="U16" s="108" t="str">
        <f t="shared" si="8"/>
        <v>*</v>
      </c>
      <c r="V16" s="105">
        <f t="shared" si="9"/>
        <v>4.3900990099009904</v>
      </c>
      <c r="X16" s="109">
        <f t="shared" si="10"/>
        <v>10</v>
      </c>
      <c r="Y16" s="110">
        <f t="shared" si="11"/>
        <v>4.8283E-2</v>
      </c>
      <c r="Z16" s="111">
        <f t="shared" si="12"/>
        <v>27.42091819816514</v>
      </c>
      <c r="AB16" s="102" t="str">
        <f t="shared" si="13"/>
        <v>femlength</v>
      </c>
      <c r="AC16" s="102" t="str">
        <f t="shared" si="14"/>
        <v>MXP4</v>
      </c>
      <c r="AD16">
        <v>6.68</v>
      </c>
      <c r="AE16">
        <v>0.08</v>
      </c>
      <c r="AF16">
        <v>-0.26</v>
      </c>
      <c r="AG16">
        <v>0.06</v>
      </c>
      <c r="AH16">
        <v>31</v>
      </c>
      <c r="AI16">
        <v>0.4874291</v>
      </c>
      <c r="AJ16">
        <v>0.18717420000000001</v>
      </c>
      <c r="AK16" s="42"/>
      <c r="AL16" s="112">
        <f t="shared" si="15"/>
        <v>-4.3333333333333339</v>
      </c>
      <c r="AM16" s="106">
        <f t="shared" si="16"/>
        <v>1.5168667031207605E-4</v>
      </c>
      <c r="AN16" s="106">
        <f t="shared" si="17"/>
        <v>1.6666666666666666E-2</v>
      </c>
      <c r="AO16" s="107">
        <f t="shared" si="18"/>
        <v>3</v>
      </c>
      <c r="AP16" s="108" t="str">
        <f t="shared" si="19"/>
        <v>n.s.</v>
      </c>
      <c r="AR16" s="113">
        <f t="shared" si="20"/>
        <v>0.4874291</v>
      </c>
      <c r="AS16" s="104">
        <f t="shared" si="21"/>
        <v>31</v>
      </c>
      <c r="AT16" s="103">
        <v>0</v>
      </c>
      <c r="AU16" s="113">
        <f t="shared" si="22"/>
        <v>0.42053645832306225</v>
      </c>
      <c r="AV16" s="113">
        <f t="shared" si="23"/>
        <v>1.1590650236216853</v>
      </c>
      <c r="AW16" s="103" t="s">
        <v>34</v>
      </c>
      <c r="AX16" s="106">
        <f t="shared" si="24"/>
        <v>0.24645735760531368</v>
      </c>
      <c r="AY16" s="106">
        <f t="shared" si="25"/>
        <v>1.6666666666666666E-2</v>
      </c>
      <c r="AZ16" s="107">
        <f t="shared" si="26"/>
        <v>3</v>
      </c>
      <c r="BA16" s="108" t="str">
        <f t="shared" si="27"/>
        <v>n.s.</v>
      </c>
      <c r="BC16" s="113">
        <f t="shared" si="28"/>
        <v>0.18717420000000001</v>
      </c>
      <c r="BD16" s="104">
        <f t="shared" si="29"/>
        <v>31</v>
      </c>
      <c r="BE16" s="103">
        <v>0</v>
      </c>
      <c r="BF16" s="113">
        <f t="shared" si="30"/>
        <v>0.8208031207099884</v>
      </c>
      <c r="BG16" s="113">
        <f t="shared" si="31"/>
        <v>0.22803787568216818</v>
      </c>
      <c r="BH16" s="103" t="s">
        <v>34</v>
      </c>
      <c r="BI16" s="104">
        <f t="shared" si="32"/>
        <v>0.81962145795531738</v>
      </c>
      <c r="BJ16" s="106">
        <f t="shared" si="33"/>
        <v>1.6666666666666666E-2</v>
      </c>
      <c r="BK16" s="107">
        <f t="shared" si="34"/>
        <v>3</v>
      </c>
      <c r="BL16" s="108" t="str">
        <f t="shared" si="35"/>
        <v>n.s.</v>
      </c>
    </row>
    <row r="17" spans="1:64" s="104" customFormat="1" ht="15">
      <c r="A17" s="117" t="s">
        <v>132</v>
      </c>
      <c r="B17" s="117" t="s">
        <v>123</v>
      </c>
      <c r="C17" s="117"/>
      <c r="D17" s="117">
        <v>4.3499999999999996</v>
      </c>
      <c r="E17" s="117">
        <v>1</v>
      </c>
      <c r="F17" s="117">
        <v>5.1790000000000003</v>
      </c>
      <c r="G17" s="117">
        <v>15</v>
      </c>
      <c r="H17" s="117">
        <v>0.52300000000000002</v>
      </c>
      <c r="I17" s="117">
        <v>15</v>
      </c>
      <c r="J17" s="117">
        <v>4.0620000000000003E-2</v>
      </c>
      <c r="K17" s="117">
        <v>288</v>
      </c>
      <c r="L17"/>
      <c r="M17" s="105">
        <f t="shared" si="0"/>
        <v>8.3173996175908211</v>
      </c>
      <c r="N17" s="104">
        <f t="shared" si="1"/>
        <v>1.1357353799939504E-2</v>
      </c>
      <c r="O17" s="105">
        <f t="shared" si="2"/>
        <v>9.9024856596558326</v>
      </c>
      <c r="P17" s="104">
        <f t="shared" si="3"/>
        <v>3.1788113665651166E-5</v>
      </c>
      <c r="Q17" s="105">
        <f t="shared" si="4"/>
        <v>12.875430822255046</v>
      </c>
      <c r="R17" s="104">
        <f t="shared" si="5"/>
        <v>1.5457575746637539E-24</v>
      </c>
      <c r="S17" s="106">
        <f t="shared" si="6"/>
        <v>2.5000000000000001E-2</v>
      </c>
      <c r="T17" s="107">
        <f t="shared" si="7"/>
        <v>2</v>
      </c>
      <c r="U17" s="108" t="str">
        <f t="shared" si="8"/>
        <v>*</v>
      </c>
      <c r="V17" s="105">
        <f t="shared" si="9"/>
        <v>7.766730401529637</v>
      </c>
      <c r="X17" s="109">
        <f t="shared" si="10"/>
        <v>10</v>
      </c>
      <c r="Y17" s="110">
        <f t="shared" si="11"/>
        <v>4.8238000000000003E-2</v>
      </c>
      <c r="Z17" s="111">
        <f t="shared" si="12"/>
        <v>12.756456238302489</v>
      </c>
      <c r="AB17" s="102" t="str">
        <f t="shared" si="13"/>
        <v>femlength</v>
      </c>
      <c r="AC17" s="102" t="str">
        <f t="shared" si="14"/>
        <v>MNM2</v>
      </c>
      <c r="AD17">
        <v>11.44</v>
      </c>
      <c r="AE17">
        <v>0.13</v>
      </c>
      <c r="AF17">
        <v>0.23</v>
      </c>
      <c r="AG17">
        <v>0.08</v>
      </c>
      <c r="AH17">
        <v>16</v>
      </c>
      <c r="AI17">
        <v>0.59178719999999996</v>
      </c>
      <c r="AJ17">
        <v>5.4109440000000002E-2</v>
      </c>
      <c r="AK17" s="42"/>
      <c r="AL17" s="112">
        <f t="shared" si="15"/>
        <v>2.875</v>
      </c>
      <c r="AM17" s="106">
        <f t="shared" si="16"/>
        <v>1.1566107762313125E-2</v>
      </c>
      <c r="AN17" s="106">
        <f t="shared" si="17"/>
        <v>2.5000000000000001E-2</v>
      </c>
      <c r="AO17" s="107">
        <f t="shared" si="18"/>
        <v>2</v>
      </c>
      <c r="AP17" s="108" t="str">
        <f t="shared" si="19"/>
        <v>n.s.</v>
      </c>
      <c r="AR17" s="113">
        <f t="shared" si="20"/>
        <v>0.59178719999999996</v>
      </c>
      <c r="AS17" s="104">
        <f t="shared" si="21"/>
        <v>16</v>
      </c>
      <c r="AT17" s="103">
        <v>0</v>
      </c>
      <c r="AU17" s="113">
        <f t="shared" si="22"/>
        <v>0.56430768800396502</v>
      </c>
      <c r="AV17" s="113">
        <f t="shared" si="23"/>
        <v>1.0486959731015428</v>
      </c>
      <c r="AW17" s="103" t="s">
        <v>34</v>
      </c>
      <c r="AX17" s="106">
        <f t="shared" si="24"/>
        <v>0.29434341239704942</v>
      </c>
      <c r="AY17" s="106">
        <f t="shared" si="25"/>
        <v>2.5000000000000001E-2</v>
      </c>
      <c r="AZ17" s="107">
        <f t="shared" si="26"/>
        <v>2</v>
      </c>
      <c r="BA17" s="108" t="str">
        <f t="shared" si="27"/>
        <v>n.s.</v>
      </c>
      <c r="BC17" s="113">
        <f t="shared" si="28"/>
        <v>5.4109440000000002E-2</v>
      </c>
      <c r="BD17" s="104">
        <f t="shared" si="29"/>
        <v>16</v>
      </c>
      <c r="BE17" s="103">
        <v>0</v>
      </c>
      <c r="BF17" s="113">
        <f t="shared" si="30"/>
        <v>1.0907738793870476</v>
      </c>
      <c r="BG17" s="113">
        <f t="shared" si="31"/>
        <v>4.9606468418923272E-2</v>
      </c>
      <c r="BH17" s="103" t="s">
        <v>34</v>
      </c>
      <c r="BI17" s="104">
        <f t="shared" si="32"/>
        <v>0.96043698263616095</v>
      </c>
      <c r="BJ17" s="106">
        <f t="shared" si="33"/>
        <v>2.5000000000000001E-2</v>
      </c>
      <c r="BK17" s="107">
        <f t="shared" si="34"/>
        <v>2</v>
      </c>
      <c r="BL17" s="108" t="str">
        <f t="shared" si="35"/>
        <v>n.s.</v>
      </c>
    </row>
    <row r="18" spans="1:64" s="104" customFormat="1" ht="15">
      <c r="A18" s="117" t="s">
        <v>132</v>
      </c>
      <c r="B18" s="117" t="s">
        <v>125</v>
      </c>
      <c r="C18" s="117"/>
      <c r="D18" s="117">
        <v>1.1594</v>
      </c>
      <c r="E18" s="117">
        <v>1</v>
      </c>
      <c r="F18" s="117">
        <v>2.0859999999999999</v>
      </c>
      <c r="G18" s="117">
        <v>14</v>
      </c>
      <c r="H18" s="117">
        <v>0.58089999999999997</v>
      </c>
      <c r="I18" s="117">
        <v>14</v>
      </c>
      <c r="J18" s="117">
        <v>2.4119999999999999E-2</v>
      </c>
      <c r="K18" s="117">
        <v>270</v>
      </c>
      <c r="L18"/>
      <c r="M18" s="105">
        <f t="shared" si="0"/>
        <v>1.9958684799449131</v>
      </c>
      <c r="N18" s="104">
        <f t="shared" si="1"/>
        <v>0.17957287342027031</v>
      </c>
      <c r="O18" s="105">
        <f t="shared" si="2"/>
        <v>3.5909795145463934</v>
      </c>
      <c r="P18" s="104">
        <f t="shared" si="3"/>
        <v>1.1381866100146472E-2</v>
      </c>
      <c r="Q18" s="105">
        <f t="shared" si="4"/>
        <v>24.08374792703151</v>
      </c>
      <c r="R18" s="104">
        <f t="shared" si="5"/>
        <v>9.1391926436000214E-40</v>
      </c>
      <c r="S18" s="106">
        <f t="shared" si="6"/>
        <v>0.05</v>
      </c>
      <c r="T18" s="107">
        <f t="shared" si="7"/>
        <v>1</v>
      </c>
      <c r="U18" s="108" t="str">
        <f t="shared" si="8"/>
        <v>*</v>
      </c>
      <c r="V18" s="105">
        <f t="shared" si="9"/>
        <v>4.1521776553623688</v>
      </c>
      <c r="X18" s="109">
        <f t="shared" si="10"/>
        <v>10</v>
      </c>
      <c r="Y18" s="110">
        <f t="shared" si="11"/>
        <v>5.5677999999999991E-2</v>
      </c>
      <c r="Z18" s="111">
        <f t="shared" si="12"/>
        <v>12.860377406386331</v>
      </c>
      <c r="AB18" s="102" t="str">
        <f t="shared" si="13"/>
        <v>femlength</v>
      </c>
      <c r="AC18" s="102" t="str">
        <f t="shared" si="14"/>
        <v>MNP4</v>
      </c>
      <c r="AD18">
        <v>7.69</v>
      </c>
      <c r="AE18">
        <v>0.08</v>
      </c>
      <c r="AF18">
        <v>0.12</v>
      </c>
      <c r="AG18">
        <v>0.09</v>
      </c>
      <c r="AH18">
        <v>15</v>
      </c>
      <c r="AI18">
        <v>0.28853869999999998</v>
      </c>
      <c r="AJ18">
        <v>2.8458830000000001E-2</v>
      </c>
      <c r="AK18" s="42"/>
      <c r="AL18" s="112">
        <f t="shared" si="15"/>
        <v>1.3333333333333333</v>
      </c>
      <c r="AM18" s="106">
        <f t="shared" si="16"/>
        <v>0.20371245254013445</v>
      </c>
      <c r="AN18" s="106">
        <f t="shared" si="17"/>
        <v>0.05</v>
      </c>
      <c r="AO18" s="107">
        <f t="shared" si="18"/>
        <v>1</v>
      </c>
      <c r="AP18" s="108" t="str">
        <f t="shared" si="19"/>
        <v>n.s.</v>
      </c>
      <c r="AR18" s="113">
        <f t="shared" si="20"/>
        <v>0.28853869999999998</v>
      </c>
      <c r="AS18" s="104">
        <f t="shared" si="21"/>
        <v>15</v>
      </c>
      <c r="AT18" s="103">
        <v>0</v>
      </c>
      <c r="AU18" s="113">
        <f t="shared" si="22"/>
        <v>0.58011935111532142</v>
      </c>
      <c r="AV18" s="113">
        <f t="shared" si="23"/>
        <v>0.49737816786367056</v>
      </c>
      <c r="AW18" s="103" t="s">
        <v>34</v>
      </c>
      <c r="AX18" s="106">
        <f t="shared" si="24"/>
        <v>0.61893333386395455</v>
      </c>
      <c r="AY18" s="106">
        <f t="shared" si="25"/>
        <v>0.05</v>
      </c>
      <c r="AZ18" s="107">
        <f t="shared" si="26"/>
        <v>1</v>
      </c>
      <c r="BA18" s="108" t="str">
        <f t="shared" si="27"/>
        <v>n.s.</v>
      </c>
      <c r="BC18" s="113">
        <f t="shared" si="28"/>
        <v>2.8458830000000001E-2</v>
      </c>
      <c r="BD18" s="104">
        <f t="shared" si="29"/>
        <v>15</v>
      </c>
      <c r="BE18" s="103">
        <v>0</v>
      </c>
      <c r="BF18" s="113">
        <f t="shared" si="30"/>
        <v>1.1208970766356099</v>
      </c>
      <c r="BG18" s="113">
        <f t="shared" si="31"/>
        <v>2.5389333769537184E-2</v>
      </c>
      <c r="BH18" s="103" t="s">
        <v>34</v>
      </c>
      <c r="BI18" s="104">
        <f t="shared" si="32"/>
        <v>0.97974492538662794</v>
      </c>
      <c r="BJ18" s="106">
        <f t="shared" si="33"/>
        <v>0.05</v>
      </c>
      <c r="BK18" s="107">
        <f t="shared" si="34"/>
        <v>1</v>
      </c>
      <c r="BL18" s="108" t="str">
        <f t="shared" si="35"/>
        <v>n.s.</v>
      </c>
    </row>
    <row r="19" spans="1:64" ht="13.5" thickBot="1"/>
    <row r="20" spans="1:64">
      <c r="A20" s="74" t="s">
        <v>35</v>
      </c>
      <c r="B20" s="75"/>
      <c r="C20" s="75"/>
      <c r="D20" s="75"/>
      <c r="E20" s="75"/>
      <c r="F20" s="75"/>
      <c r="G20" s="75"/>
      <c r="H20" s="75"/>
      <c r="I20" s="76"/>
    </row>
    <row r="21" spans="1:64">
      <c r="A21" s="77"/>
      <c r="B21" s="78"/>
      <c r="C21" s="78"/>
      <c r="D21" s="78"/>
      <c r="E21" s="78"/>
      <c r="F21" s="78"/>
      <c r="G21" s="78"/>
      <c r="H21" s="78"/>
      <c r="I21" s="79"/>
    </row>
    <row r="22" spans="1:64">
      <c r="A22" s="77" t="s">
        <v>36</v>
      </c>
      <c r="B22" s="78"/>
      <c r="C22" s="78"/>
      <c r="D22" s="78"/>
      <c r="E22" s="78"/>
      <c r="F22" s="78"/>
      <c r="G22" s="78"/>
      <c r="H22" s="78"/>
      <c r="I22" s="79"/>
    </row>
    <row r="23" spans="1:64">
      <c r="A23" s="77"/>
      <c r="B23" s="78"/>
      <c r="C23" s="78"/>
      <c r="D23" s="78"/>
      <c r="E23" s="78"/>
      <c r="F23" s="78"/>
      <c r="G23" s="78"/>
      <c r="H23" s="78"/>
      <c r="I23" s="79"/>
    </row>
    <row r="24" spans="1:64">
      <c r="A24" s="77" t="s">
        <v>37</v>
      </c>
      <c r="B24" s="78"/>
      <c r="C24" s="78"/>
      <c r="D24" s="78"/>
      <c r="E24" s="78"/>
      <c r="F24" s="78"/>
      <c r="G24" s="78"/>
      <c r="H24" s="78"/>
      <c r="I24" s="79"/>
    </row>
    <row r="25" spans="1:64">
      <c r="A25" s="77"/>
      <c r="B25" s="78"/>
      <c r="C25" s="78"/>
      <c r="D25" s="78"/>
      <c r="E25" s="78"/>
      <c r="F25" s="78"/>
      <c r="G25" s="78"/>
      <c r="H25" s="78"/>
      <c r="I25" s="79"/>
    </row>
    <row r="26" spans="1:64">
      <c r="A26" s="77" t="s">
        <v>38</v>
      </c>
      <c r="B26" s="78"/>
      <c r="C26" s="78"/>
      <c r="D26" s="78"/>
      <c r="E26" s="78"/>
      <c r="F26" s="78"/>
      <c r="G26" s="78"/>
      <c r="H26" s="78"/>
      <c r="I26" s="79"/>
    </row>
    <row r="27" spans="1:64">
      <c r="A27" s="77"/>
      <c r="B27" s="78"/>
      <c r="C27" s="78"/>
      <c r="D27" s="78"/>
      <c r="E27" s="78"/>
      <c r="F27" s="78"/>
      <c r="G27" s="78"/>
      <c r="H27" s="78"/>
      <c r="I27" s="79"/>
    </row>
    <row r="28" spans="1:64">
      <c r="A28" s="80" t="s">
        <v>39</v>
      </c>
      <c r="B28" s="78"/>
      <c r="C28" s="78"/>
      <c r="D28" s="78"/>
      <c r="E28" s="78"/>
      <c r="F28" s="78"/>
      <c r="G28" s="78"/>
      <c r="H28" s="78"/>
      <c r="I28" s="79"/>
    </row>
    <row r="29" spans="1:64">
      <c r="A29" s="77" t="s">
        <v>40</v>
      </c>
      <c r="B29" s="78"/>
      <c r="C29" s="78"/>
      <c r="D29" s="78"/>
      <c r="E29" s="78"/>
      <c r="F29" s="78"/>
      <c r="G29" s="78"/>
      <c r="H29" s="78"/>
      <c r="I29" s="79"/>
    </row>
    <row r="30" spans="1:64">
      <c r="A30" s="80"/>
      <c r="B30" s="78"/>
      <c r="C30" s="78"/>
      <c r="D30" s="78"/>
      <c r="E30" s="78"/>
      <c r="F30" s="78"/>
      <c r="G30" s="78"/>
      <c r="H30" s="78"/>
      <c r="I30" s="79"/>
    </row>
    <row r="31" spans="1:64">
      <c r="A31" s="77" t="s">
        <v>58</v>
      </c>
      <c r="B31" s="78"/>
      <c r="C31" s="78"/>
      <c r="D31" s="78"/>
      <c r="E31" s="78"/>
      <c r="F31" s="78"/>
      <c r="G31" s="78"/>
      <c r="H31" s="78"/>
      <c r="I31" s="79"/>
    </row>
    <row r="32" spans="1:64">
      <c r="A32" s="80" t="s">
        <v>44</v>
      </c>
      <c r="B32" s="78"/>
      <c r="C32" s="78"/>
      <c r="D32" s="78"/>
      <c r="E32" s="78"/>
      <c r="F32" s="78"/>
      <c r="G32" s="78"/>
      <c r="H32" s="78"/>
      <c r="I32" s="79"/>
    </row>
    <row r="33" spans="1:9">
      <c r="A33" s="77" t="s">
        <v>59</v>
      </c>
      <c r="B33" s="78"/>
      <c r="C33" s="78"/>
      <c r="D33" s="78"/>
      <c r="E33" s="78"/>
      <c r="F33" s="78"/>
      <c r="G33" s="78"/>
      <c r="H33" s="78"/>
      <c r="I33" s="79"/>
    </row>
    <row r="34" spans="1:9">
      <c r="A34" s="80" t="s">
        <v>60</v>
      </c>
      <c r="B34" s="78"/>
      <c r="C34" s="78"/>
      <c r="D34" s="78"/>
      <c r="E34" s="78"/>
      <c r="F34" s="78"/>
      <c r="G34" s="78"/>
      <c r="H34" s="78"/>
      <c r="I34" s="79"/>
    </row>
    <row r="35" spans="1:9">
      <c r="A35" s="80" t="s">
        <v>61</v>
      </c>
      <c r="B35" s="78"/>
      <c r="C35" s="78"/>
      <c r="D35" s="78"/>
      <c r="E35" s="78"/>
      <c r="F35" s="78"/>
      <c r="G35" s="78"/>
      <c r="H35" s="78"/>
      <c r="I35" s="79"/>
    </row>
    <row r="36" spans="1:9">
      <c r="A36" s="80" t="s">
        <v>62</v>
      </c>
      <c r="B36" s="78"/>
      <c r="C36" s="78"/>
      <c r="D36" s="78"/>
      <c r="E36" s="78"/>
      <c r="F36" s="78"/>
      <c r="G36" s="78"/>
      <c r="H36" s="78"/>
      <c r="I36" s="79"/>
    </row>
    <row r="37" spans="1:9">
      <c r="A37" s="77"/>
      <c r="B37" s="78"/>
      <c r="C37" s="78"/>
      <c r="D37" s="78"/>
      <c r="E37" s="78"/>
      <c r="F37" s="78"/>
      <c r="G37" s="78"/>
      <c r="H37" s="78"/>
      <c r="I37" s="79"/>
    </row>
    <row r="38" spans="1:9">
      <c r="A38" s="77" t="s">
        <v>63</v>
      </c>
      <c r="B38" s="78"/>
      <c r="C38" s="78"/>
      <c r="D38" s="78"/>
      <c r="E38" s="78"/>
      <c r="F38" s="78"/>
      <c r="G38" s="78"/>
      <c r="H38" s="78"/>
      <c r="I38" s="79"/>
    </row>
    <row r="39" spans="1:9">
      <c r="A39" s="77" t="s">
        <v>64</v>
      </c>
      <c r="B39" s="78"/>
      <c r="C39" s="78"/>
      <c r="D39" s="78"/>
      <c r="E39" s="78"/>
      <c r="F39" s="78"/>
      <c r="G39" s="78"/>
      <c r="H39" s="78"/>
      <c r="I39" s="79"/>
    </row>
    <row r="40" spans="1:9">
      <c r="A40" s="80"/>
      <c r="B40" s="78"/>
      <c r="C40" s="78"/>
      <c r="D40" s="78"/>
      <c r="E40" s="78"/>
      <c r="F40" s="78"/>
      <c r="G40" s="78"/>
      <c r="H40" s="78"/>
      <c r="I40" s="79"/>
    </row>
    <row r="41" spans="1:9">
      <c r="A41" s="80" t="s">
        <v>65</v>
      </c>
      <c r="B41" s="78"/>
      <c r="C41" s="78"/>
      <c r="D41" s="78"/>
      <c r="E41" s="78"/>
      <c r="F41" s="78"/>
      <c r="G41" s="78"/>
      <c r="H41" s="78"/>
      <c r="I41" s="79"/>
    </row>
    <row r="42" spans="1:9">
      <c r="A42" s="77" t="s">
        <v>66</v>
      </c>
      <c r="B42" s="78"/>
      <c r="C42" s="78"/>
      <c r="D42" s="78"/>
      <c r="E42" s="78"/>
      <c r="F42" s="78"/>
      <c r="G42" s="78"/>
      <c r="H42" s="78"/>
      <c r="I42" s="79"/>
    </row>
    <row r="43" spans="1:9">
      <c r="A43" s="77"/>
      <c r="B43" s="78"/>
      <c r="C43" s="78"/>
      <c r="D43" s="78"/>
      <c r="E43" s="78"/>
      <c r="F43" s="78"/>
      <c r="G43" s="78"/>
      <c r="H43" s="78"/>
      <c r="I43" s="79"/>
    </row>
    <row r="44" spans="1:9">
      <c r="A44" s="77" t="s">
        <v>67</v>
      </c>
      <c r="B44" s="78"/>
      <c r="C44" s="78"/>
      <c r="D44" s="78"/>
      <c r="E44" s="78"/>
      <c r="F44" s="78"/>
      <c r="G44" s="78"/>
      <c r="H44" s="78"/>
      <c r="I44" s="79"/>
    </row>
    <row r="45" spans="1:9">
      <c r="A45" s="80" t="s">
        <v>44</v>
      </c>
      <c r="B45" s="78"/>
      <c r="C45" s="78"/>
      <c r="D45" s="78"/>
      <c r="E45" s="78"/>
      <c r="F45" s="78"/>
      <c r="G45" s="78"/>
      <c r="H45" s="78"/>
      <c r="I45" s="79"/>
    </row>
    <row r="46" spans="1:9">
      <c r="A46" s="77" t="s">
        <v>45</v>
      </c>
      <c r="B46" s="78"/>
      <c r="C46" s="78"/>
      <c r="D46" s="78"/>
      <c r="E46" s="78"/>
      <c r="F46" s="78"/>
      <c r="G46" s="78"/>
      <c r="H46" s="78"/>
      <c r="I46" s="79"/>
    </row>
    <row r="47" spans="1:9">
      <c r="A47" s="77" t="s">
        <v>46</v>
      </c>
      <c r="B47" s="78"/>
      <c r="C47" s="78"/>
      <c r="D47" s="78"/>
      <c r="E47" s="78"/>
      <c r="F47" s="78"/>
      <c r="G47" s="78"/>
      <c r="H47" s="78"/>
      <c r="I47" s="79"/>
    </row>
    <row r="48" spans="1:9">
      <c r="A48" s="77" t="s">
        <v>47</v>
      </c>
      <c r="B48" s="78"/>
      <c r="C48" s="78"/>
      <c r="D48" s="78"/>
      <c r="E48" s="78"/>
      <c r="F48" s="78"/>
      <c r="G48" s="78"/>
      <c r="H48" s="78"/>
      <c r="I48" s="79"/>
    </row>
    <row r="49" spans="1:9">
      <c r="A49" s="77"/>
      <c r="B49" s="78"/>
      <c r="C49" s="78"/>
      <c r="D49" s="78"/>
      <c r="E49" s="78"/>
      <c r="F49" s="78"/>
      <c r="G49" s="78"/>
      <c r="H49" s="78"/>
      <c r="I49" s="79"/>
    </row>
    <row r="50" spans="1:9">
      <c r="A50" s="77" t="s">
        <v>68</v>
      </c>
      <c r="B50" s="78"/>
      <c r="C50" s="78"/>
      <c r="D50" s="78"/>
      <c r="E50" s="78"/>
      <c r="F50" s="78"/>
      <c r="G50" s="78"/>
      <c r="H50" s="78"/>
      <c r="I50" s="79"/>
    </row>
    <row r="51" spans="1:9">
      <c r="A51" s="77" t="s">
        <v>77</v>
      </c>
      <c r="B51" s="78"/>
      <c r="C51" s="78"/>
      <c r="D51" s="78"/>
      <c r="E51" s="78"/>
      <c r="F51" s="78"/>
      <c r="G51" s="78"/>
      <c r="H51" s="78"/>
      <c r="I51" s="79"/>
    </row>
    <row r="52" spans="1:9">
      <c r="A52" s="77" t="s">
        <v>78</v>
      </c>
      <c r="B52" s="78"/>
      <c r="C52" s="78"/>
      <c r="D52" s="78"/>
      <c r="E52" s="78"/>
      <c r="F52" s="78"/>
      <c r="G52" s="78"/>
      <c r="H52" s="78"/>
      <c r="I52" s="79"/>
    </row>
    <row r="53" spans="1:9">
      <c r="A53" s="77" t="s">
        <v>79</v>
      </c>
      <c r="B53" s="78"/>
      <c r="C53" s="78"/>
      <c r="D53" s="78"/>
      <c r="E53" s="78"/>
      <c r="F53" s="78"/>
      <c r="G53" s="78"/>
      <c r="H53" s="78"/>
      <c r="I53" s="79"/>
    </row>
    <row r="54" spans="1:9">
      <c r="A54" s="77" t="s">
        <v>80</v>
      </c>
      <c r="B54" s="78"/>
      <c r="C54" s="78"/>
      <c r="D54" s="78"/>
      <c r="E54" s="78"/>
      <c r="F54" s="78"/>
      <c r="G54" s="78"/>
      <c r="H54" s="78"/>
      <c r="I54" s="79"/>
    </row>
    <row r="55" spans="1:9">
      <c r="A55" s="77" t="s">
        <v>81</v>
      </c>
      <c r="B55" s="78"/>
      <c r="C55" s="78"/>
      <c r="D55" s="78"/>
      <c r="E55" s="78"/>
      <c r="F55" s="78"/>
      <c r="G55" s="78"/>
      <c r="H55" s="78"/>
      <c r="I55" s="79"/>
    </row>
    <row r="56" spans="1:9">
      <c r="A56" s="77" t="s">
        <v>82</v>
      </c>
      <c r="B56" s="78"/>
      <c r="C56" s="78"/>
      <c r="D56" s="78"/>
      <c r="E56" s="78"/>
      <c r="F56" s="78"/>
      <c r="G56" s="78"/>
      <c r="H56" s="78"/>
      <c r="I56" s="79"/>
    </row>
    <row r="57" spans="1:9">
      <c r="A57" s="77" t="s">
        <v>83</v>
      </c>
      <c r="B57" s="78"/>
      <c r="C57" s="78"/>
      <c r="D57" s="78"/>
      <c r="E57" s="78"/>
      <c r="F57" s="78"/>
      <c r="G57" s="78"/>
      <c r="H57" s="78"/>
      <c r="I57" s="79"/>
    </row>
    <row r="58" spans="1:9">
      <c r="A58" s="77" t="s">
        <v>84</v>
      </c>
      <c r="B58" s="78"/>
      <c r="C58" s="78"/>
      <c r="D58" s="78"/>
      <c r="E58" s="78"/>
      <c r="F58" s="78"/>
      <c r="G58" s="78"/>
      <c r="H58" s="78"/>
      <c r="I58" s="79"/>
    </row>
    <row r="59" spans="1:9">
      <c r="A59" s="77" t="s">
        <v>85</v>
      </c>
      <c r="B59" s="78"/>
      <c r="C59" s="78"/>
      <c r="D59" s="78"/>
      <c r="E59" s="78"/>
      <c r="F59" s="78"/>
      <c r="G59" s="78"/>
      <c r="H59" s="78"/>
      <c r="I59" s="79"/>
    </row>
    <row r="60" spans="1:9">
      <c r="A60" s="77"/>
      <c r="B60" s="78"/>
      <c r="C60" s="78"/>
      <c r="D60" s="78"/>
      <c r="E60" s="78"/>
      <c r="F60" s="78"/>
      <c r="G60" s="78"/>
      <c r="H60" s="78"/>
      <c r="I60" s="79"/>
    </row>
    <row r="61" spans="1:9">
      <c r="A61" s="77" t="s">
        <v>57</v>
      </c>
      <c r="B61" s="78"/>
      <c r="C61" s="78"/>
      <c r="D61" s="78"/>
      <c r="E61" s="78"/>
      <c r="F61" s="78"/>
      <c r="G61" s="78"/>
      <c r="H61" s="78"/>
      <c r="I61" s="79"/>
    </row>
    <row r="62" spans="1:9">
      <c r="A62" s="77" t="s">
        <v>86</v>
      </c>
      <c r="B62" s="78"/>
      <c r="C62" s="78"/>
      <c r="D62" s="78"/>
      <c r="E62" s="78"/>
      <c r="F62" s="78"/>
      <c r="G62" s="78"/>
      <c r="H62" s="78"/>
      <c r="I62" s="79"/>
    </row>
    <row r="63" spans="1:9">
      <c r="A63" s="115" t="s">
        <v>87</v>
      </c>
      <c r="B63" s="78"/>
      <c r="C63" s="78"/>
      <c r="D63" s="78"/>
      <c r="E63" s="78"/>
      <c r="F63" s="78"/>
      <c r="G63" s="78"/>
      <c r="H63" s="78"/>
      <c r="I63" s="79"/>
    </row>
    <row r="64" spans="1:9">
      <c r="A64" s="77"/>
      <c r="B64" s="78"/>
      <c r="C64" s="78"/>
      <c r="D64" s="78"/>
      <c r="E64" s="78"/>
      <c r="F64" s="78"/>
      <c r="G64" s="78"/>
      <c r="H64" s="78"/>
      <c r="I64" s="79"/>
    </row>
    <row r="65" spans="1:9">
      <c r="A65" s="116" t="s">
        <v>48</v>
      </c>
      <c r="B65" s="78"/>
      <c r="C65" s="78"/>
      <c r="D65" s="78"/>
      <c r="E65" s="78"/>
      <c r="F65" s="78"/>
      <c r="G65" s="78"/>
      <c r="H65" s="78"/>
      <c r="I65" s="79"/>
    </row>
    <row r="66" spans="1:9">
      <c r="A66" s="77" t="s">
        <v>49</v>
      </c>
      <c r="B66" s="78"/>
      <c r="C66" s="78"/>
      <c r="D66" s="78"/>
      <c r="E66" s="78"/>
      <c r="F66" s="78"/>
      <c r="G66" s="78"/>
      <c r="H66" s="78"/>
      <c r="I66" s="79"/>
    </row>
    <row r="67" spans="1:9">
      <c r="A67" s="77" t="s">
        <v>50</v>
      </c>
      <c r="B67" s="78"/>
      <c r="C67" s="78"/>
      <c r="D67" s="78"/>
      <c r="E67" s="78"/>
      <c r="F67" s="78"/>
      <c r="G67" s="78"/>
      <c r="H67" s="78"/>
      <c r="I67" s="79"/>
    </row>
    <row r="68" spans="1:9">
      <c r="A68" s="77" t="s">
        <v>51</v>
      </c>
      <c r="B68" s="78"/>
      <c r="C68" s="78"/>
      <c r="D68" s="78"/>
      <c r="E68" s="78"/>
      <c r="F68" s="78"/>
      <c r="G68" s="78"/>
      <c r="H68" s="78"/>
      <c r="I68" s="79"/>
    </row>
    <row r="69" spans="1:9">
      <c r="A69" s="77" t="s">
        <v>52</v>
      </c>
      <c r="B69" s="78"/>
      <c r="C69" s="78"/>
      <c r="D69" s="78"/>
      <c r="E69" s="78"/>
      <c r="F69" s="78"/>
      <c r="G69" s="78"/>
      <c r="H69" s="78"/>
      <c r="I69" s="79"/>
    </row>
    <row r="70" spans="1:9">
      <c r="A70" s="77" t="s">
        <v>53</v>
      </c>
      <c r="B70" s="78"/>
      <c r="C70" s="78"/>
      <c r="D70" s="78"/>
      <c r="E70" s="78"/>
      <c r="F70" s="78"/>
      <c r="G70" s="78"/>
      <c r="H70" s="78"/>
      <c r="I70" s="79"/>
    </row>
    <row r="71" spans="1:9">
      <c r="A71" s="77" t="s">
        <v>54</v>
      </c>
      <c r="B71" s="78"/>
      <c r="C71" s="78"/>
      <c r="D71" s="78"/>
      <c r="E71" s="78"/>
      <c r="F71" s="78"/>
      <c r="G71" s="78"/>
      <c r="H71" s="78"/>
      <c r="I71" s="79"/>
    </row>
    <row r="72" spans="1:9">
      <c r="A72" s="77" t="s">
        <v>56</v>
      </c>
      <c r="B72" s="78"/>
      <c r="C72" s="78"/>
      <c r="D72" s="78"/>
      <c r="E72" s="78"/>
      <c r="F72" s="78"/>
      <c r="G72" s="78"/>
      <c r="H72" s="78"/>
      <c r="I72" s="79"/>
    </row>
    <row r="73" spans="1:9" ht="13.5" thickBot="1">
      <c r="A73" s="81" t="s">
        <v>55</v>
      </c>
      <c r="B73" s="82"/>
      <c r="C73" s="82"/>
      <c r="D73" s="82"/>
      <c r="E73" s="82"/>
      <c r="F73" s="82"/>
      <c r="G73" s="82"/>
      <c r="H73" s="82"/>
      <c r="I73" s="83"/>
    </row>
  </sheetData>
  <sortState xmlns:xlrd2="http://schemas.microsoft.com/office/spreadsheetml/2017/richdata2" ref="A10:XFD18">
    <sortCondition ref="BI10:BI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07F36-4377-49E5-9FA0-630623B0CCF9}">
  <dimension ref="A1:BL73"/>
  <sheetViews>
    <sheetView tabSelected="1" topLeftCell="AL7" zoomScale="70" zoomScaleNormal="70" workbookViewId="0">
      <selection activeCell="A10" sqref="A10:XFD18"/>
    </sheetView>
  </sheetViews>
  <sheetFormatPr defaultColWidth="12.42578125" defaultRowHeight="12.75"/>
  <cols>
    <col min="1" max="1" width="11.42578125" style="11" customWidth="1"/>
    <col min="2" max="2" width="9.7109375" customWidth="1"/>
    <col min="3" max="3" width="0.42578125" customWidth="1"/>
    <col min="4" max="4" width="8" customWidth="1"/>
    <col min="5" max="5" width="3.85546875" customWidth="1"/>
    <col min="6" max="6" width="8" customWidth="1"/>
    <col min="7" max="7" width="4.85546875" customWidth="1"/>
    <col min="8" max="8" width="8" customWidth="1"/>
    <col min="9" max="9" width="4.28515625" customWidth="1"/>
    <col min="10" max="10" width="9.140625" customWidth="1"/>
    <col min="11" max="11" width="4.28515625" customWidth="1"/>
    <col min="12" max="12" width="0.42578125" customWidth="1"/>
    <col min="13" max="13" width="7.7109375" style="38" customWidth="1"/>
    <col min="14" max="14" width="7.7109375" customWidth="1"/>
    <col min="15" max="15" width="7.7109375" style="38" customWidth="1"/>
    <col min="16" max="16" width="7.7109375" customWidth="1"/>
    <col min="17" max="17" width="7.7109375" style="38" customWidth="1"/>
    <col min="18" max="18" width="7.7109375" customWidth="1"/>
    <col min="19" max="19" width="10.28515625" style="53" customWidth="1"/>
    <col min="20" max="20" width="10.28515625" style="64" customWidth="1"/>
    <col min="21" max="21" width="9.42578125" style="58" customWidth="1"/>
    <col min="22" max="22" width="9.7109375" style="38" customWidth="1"/>
    <col min="23" max="23" width="0.42578125" customWidth="1"/>
    <col min="24" max="24" width="10.7109375" style="23" customWidth="1"/>
    <col min="25" max="25" width="10.42578125" style="6" customWidth="1"/>
    <col min="26" max="26" width="10.7109375" style="3" customWidth="1"/>
    <col min="27" max="27" width="0.42578125" customWidth="1"/>
    <col min="28" max="28" width="12.140625" style="11" customWidth="1"/>
    <col min="29" max="29" width="7" style="11" customWidth="1"/>
    <col min="30" max="30" width="11.7109375" customWidth="1"/>
    <col min="31" max="31" width="10" customWidth="1"/>
    <col min="32" max="32" width="8.85546875" customWidth="1"/>
    <col min="33" max="33" width="7.42578125" customWidth="1"/>
    <col min="34" max="34" width="6.42578125" style="2" customWidth="1"/>
    <col min="35" max="35" width="7.28515625" style="42" customWidth="1"/>
    <col min="36" max="36" width="7.85546875" style="42" customWidth="1"/>
    <col min="37" max="37" width="0.5703125" style="42" customWidth="1"/>
    <col min="38" max="38" width="10.7109375" style="42" customWidth="1"/>
    <col min="39" max="39" width="10.7109375" style="53" customWidth="1"/>
    <col min="40" max="40" width="9.85546875" style="53" customWidth="1"/>
    <col min="41" max="41" width="10.28515625" style="64" customWidth="1"/>
    <col min="42" max="42" width="9.42578125" style="58" customWidth="1"/>
    <col min="43" max="43" width="0.5703125" customWidth="1"/>
    <col min="45" max="45" width="4.28515625" customWidth="1"/>
    <col min="46" max="46" width="9.140625" customWidth="1"/>
    <col min="47" max="48" width="9" customWidth="1"/>
    <col min="49" max="49" width="5.85546875" customWidth="1"/>
    <col min="50" max="50" width="8.7109375" style="53" customWidth="1"/>
    <col min="51" max="51" width="9.85546875" style="53" customWidth="1"/>
    <col min="52" max="52" width="10.28515625" style="64" customWidth="1"/>
    <col min="53" max="53" width="9.42578125" style="58" customWidth="1"/>
    <col min="54" max="54" width="0.42578125" customWidth="1"/>
    <col min="56" max="56" width="5.28515625" customWidth="1"/>
    <col min="59" max="59" width="9.5703125" customWidth="1"/>
    <col min="60" max="60" width="6.42578125" customWidth="1"/>
    <col min="61" max="61" width="9.5703125" customWidth="1"/>
    <col min="62" max="62" width="9.85546875" style="53" customWidth="1"/>
    <col min="63" max="63" width="10.140625" style="64" customWidth="1"/>
    <col min="64" max="64" width="9.42578125" style="58" customWidth="1"/>
    <col min="65" max="65" width="0.42578125" customWidth="1"/>
  </cols>
  <sheetData>
    <row r="1" spans="1:64">
      <c r="A1" s="44" t="s">
        <v>75</v>
      </c>
      <c r="K1" s="114" t="s">
        <v>41</v>
      </c>
      <c r="AB1" s="11" t="s">
        <v>89</v>
      </c>
    </row>
    <row r="2" spans="1:64">
      <c r="A2" s="45" t="s">
        <v>76</v>
      </c>
      <c r="B2" s="1"/>
      <c r="C2" s="1"/>
      <c r="K2" s="114"/>
      <c r="S2" s="59" t="s">
        <v>88</v>
      </c>
      <c r="T2" s="69"/>
      <c r="U2" s="60"/>
      <c r="Y2"/>
      <c r="AB2" s="11" t="s">
        <v>91</v>
      </c>
      <c r="AN2" s="59" t="s">
        <v>88</v>
      </c>
      <c r="AO2" s="69"/>
      <c r="AP2" s="60"/>
      <c r="AY2" s="59" t="s">
        <v>88</v>
      </c>
      <c r="AZ2" s="69"/>
      <c r="BA2" s="60"/>
      <c r="BJ2" s="59" t="s">
        <v>88</v>
      </c>
      <c r="BK2" s="69"/>
      <c r="BL2" s="60"/>
    </row>
    <row r="3" spans="1:64" ht="21" thickBot="1">
      <c r="A3"/>
      <c r="B3" s="1"/>
      <c r="C3" s="1"/>
      <c r="S3" s="72" t="s">
        <v>90</v>
      </c>
      <c r="T3" s="70"/>
      <c r="U3" s="73"/>
      <c r="Y3"/>
      <c r="AB3" s="11" t="s">
        <v>42</v>
      </c>
      <c r="AN3" s="72" t="s">
        <v>90</v>
      </c>
      <c r="AO3" s="70"/>
      <c r="AP3" s="73"/>
      <c r="AY3" s="72" t="s">
        <v>90</v>
      </c>
      <c r="AZ3" s="70"/>
      <c r="BA3" s="73"/>
      <c r="BF3" s="101" t="s">
        <v>97</v>
      </c>
      <c r="BG3" s="101"/>
      <c r="BH3" s="101"/>
      <c r="BI3" s="101"/>
      <c r="BJ3" s="72" t="s">
        <v>90</v>
      </c>
      <c r="BK3" s="70"/>
      <c r="BL3" s="73"/>
    </row>
    <row r="4" spans="1:64" ht="13.5" thickBot="1">
      <c r="A4" s="89"/>
      <c r="B4" s="90" t="s">
        <v>92</v>
      </c>
      <c r="C4" s="91"/>
      <c r="D4" s="75"/>
      <c r="E4" s="75"/>
      <c r="F4" s="84" t="s">
        <v>93</v>
      </c>
      <c r="G4" s="65">
        <v>0.05</v>
      </c>
      <c r="H4" s="84" t="s">
        <v>94</v>
      </c>
      <c r="I4" s="65">
        <v>9</v>
      </c>
      <c r="J4" s="84" t="s">
        <v>95</v>
      </c>
      <c r="K4" s="65">
        <v>10</v>
      </c>
      <c r="S4" s="97" t="s">
        <v>96</v>
      </c>
      <c r="T4" s="98"/>
      <c r="U4" s="63"/>
      <c r="Y4"/>
      <c r="AB4" s="11" t="s">
        <v>43</v>
      </c>
      <c r="AN4" s="97" t="s">
        <v>96</v>
      </c>
      <c r="AO4" s="98"/>
      <c r="AP4" s="63"/>
      <c r="AY4" s="97" t="s">
        <v>96</v>
      </c>
      <c r="AZ4" s="98"/>
      <c r="BA4" s="63"/>
      <c r="BF4" s="101" t="s">
        <v>71</v>
      </c>
      <c r="BG4" s="101"/>
      <c r="BH4" s="101"/>
      <c r="BI4" s="101"/>
      <c r="BJ4" s="97" t="s">
        <v>96</v>
      </c>
      <c r="BK4" s="98"/>
      <c r="BL4" s="63"/>
    </row>
    <row r="5" spans="1:64" ht="13.5" thickBot="1">
      <c r="A5" s="85"/>
      <c r="B5" s="86" t="s">
        <v>98</v>
      </c>
      <c r="C5" s="86"/>
      <c r="D5" s="86"/>
      <c r="E5" s="86"/>
      <c r="F5" s="86"/>
      <c r="G5" s="86"/>
      <c r="H5" s="87"/>
      <c r="I5" s="87"/>
      <c r="J5" s="87"/>
      <c r="K5" s="88"/>
      <c r="N5" t="s">
        <v>99</v>
      </c>
      <c r="Q5" s="3"/>
      <c r="R5" s="2"/>
      <c r="S5" s="99" t="s">
        <v>100</v>
      </c>
      <c r="T5" s="100"/>
      <c r="U5" s="66" t="s">
        <v>101</v>
      </c>
      <c r="V5" s="3"/>
      <c r="Y5" s="19" t="s">
        <v>102</v>
      </c>
      <c r="Z5" s="24"/>
      <c r="AB5" s="85"/>
      <c r="AC5" s="92"/>
      <c r="AD5" s="93" t="s">
        <v>103</v>
      </c>
      <c r="AE5" s="93"/>
      <c r="AF5" s="86"/>
      <c r="AG5" s="94"/>
      <c r="AH5" s="94"/>
      <c r="AI5" s="94"/>
      <c r="AJ5" s="95"/>
      <c r="AN5" s="99" t="s">
        <v>100</v>
      </c>
      <c r="AO5" s="100"/>
      <c r="AP5" s="66" t="s">
        <v>101</v>
      </c>
      <c r="AR5" s="12" t="s">
        <v>104</v>
      </c>
      <c r="AS5" s="21"/>
      <c r="AT5" s="14"/>
      <c r="AY5" s="99" t="s">
        <v>100</v>
      </c>
      <c r="AZ5" s="100"/>
      <c r="BA5" s="66" t="s">
        <v>101</v>
      </c>
      <c r="BC5" s="12" t="s">
        <v>105</v>
      </c>
      <c r="BD5" s="21"/>
      <c r="BE5" s="14"/>
      <c r="BF5" s="101" t="s">
        <v>72</v>
      </c>
      <c r="BG5" s="101"/>
      <c r="BH5" s="101"/>
      <c r="BI5" s="101"/>
      <c r="BJ5" s="99" t="s">
        <v>100</v>
      </c>
      <c r="BK5" s="100"/>
      <c r="BL5" s="66" t="s">
        <v>101</v>
      </c>
    </row>
    <row r="6" spans="1:64" ht="20.25">
      <c r="D6" s="2" t="s">
        <v>106</v>
      </c>
      <c r="J6" s="52" t="s">
        <v>70</v>
      </c>
      <c r="M6" s="41" t="s">
        <v>107</v>
      </c>
      <c r="N6" s="22"/>
      <c r="O6" s="39"/>
      <c r="P6" s="22"/>
      <c r="Q6" s="39"/>
      <c r="R6" s="20"/>
      <c r="S6" s="99" t="s">
        <v>108</v>
      </c>
      <c r="T6" s="100"/>
      <c r="U6" s="67" t="str">
        <f>"@table-wide"</f>
        <v>@table-wide</v>
      </c>
      <c r="V6" s="46" t="s">
        <v>109</v>
      </c>
      <c r="X6" s="30" t="s">
        <v>110</v>
      </c>
      <c r="Y6" s="25" t="s">
        <v>111</v>
      </c>
      <c r="Z6" s="26"/>
      <c r="AN6" s="99" t="s">
        <v>108</v>
      </c>
      <c r="AO6" s="100"/>
      <c r="AP6" s="67" t="str">
        <f>"@table-wide"</f>
        <v>@table-wide</v>
      </c>
      <c r="AR6" s="35" t="s">
        <v>112</v>
      </c>
      <c r="AS6" s="5"/>
      <c r="AT6" s="36"/>
      <c r="AY6" s="99" t="s">
        <v>108</v>
      </c>
      <c r="AZ6" s="100"/>
      <c r="BA6" s="67" t="str">
        <f>"@table-wide"</f>
        <v>@table-wide</v>
      </c>
      <c r="BC6" s="35" t="s">
        <v>113</v>
      </c>
      <c r="BD6" s="5"/>
      <c r="BE6" s="36"/>
      <c r="BF6" s="101" t="s">
        <v>73</v>
      </c>
      <c r="BG6" s="101"/>
      <c r="BH6" s="101"/>
      <c r="BI6" s="101"/>
      <c r="BJ6" s="99" t="s">
        <v>108</v>
      </c>
      <c r="BK6" s="100"/>
      <c r="BL6" s="67" t="str">
        <f>"@table-wide"</f>
        <v>@table-wide</v>
      </c>
    </row>
    <row r="7" spans="1:64">
      <c r="B7" s="2"/>
      <c r="C7" s="2"/>
      <c r="D7" s="17" t="s">
        <v>114</v>
      </c>
      <c r="E7" s="18"/>
      <c r="F7" s="17" t="s">
        <v>115</v>
      </c>
      <c r="G7" s="18"/>
      <c r="H7" s="17" t="s">
        <v>116</v>
      </c>
      <c r="I7" s="18"/>
      <c r="J7" s="16" t="s">
        <v>117</v>
      </c>
      <c r="K7" s="15"/>
      <c r="M7" s="40" t="s">
        <v>118</v>
      </c>
      <c r="N7" s="20"/>
      <c r="O7" s="40" t="s">
        <v>119</v>
      </c>
      <c r="P7" s="20"/>
      <c r="Q7" s="40" t="s">
        <v>120</v>
      </c>
      <c r="R7" s="20"/>
      <c r="S7" s="61" t="s">
        <v>121</v>
      </c>
      <c r="T7" s="66" t="s">
        <v>0</v>
      </c>
      <c r="U7" s="68" t="s">
        <v>1</v>
      </c>
      <c r="V7" s="47" t="s">
        <v>2</v>
      </c>
      <c r="X7" s="32" t="s">
        <v>3</v>
      </c>
      <c r="Y7" s="28" t="s">
        <v>4</v>
      </c>
      <c r="Z7" s="29"/>
      <c r="AA7" s="2"/>
      <c r="AF7" s="2"/>
      <c r="AL7" s="56" t="s">
        <v>5</v>
      </c>
      <c r="AM7" s="57"/>
      <c r="AN7" s="61" t="s">
        <v>121</v>
      </c>
      <c r="AO7" s="66" t="s">
        <v>0</v>
      </c>
      <c r="AP7" s="68" t="s">
        <v>1</v>
      </c>
      <c r="AR7" s="7" t="s">
        <v>6</v>
      </c>
      <c r="AS7" s="13"/>
      <c r="AT7" s="13" t="s">
        <v>7</v>
      </c>
      <c r="AU7" s="33"/>
      <c r="AV7" s="33"/>
      <c r="AW7" s="13"/>
      <c r="AX7" s="55"/>
      <c r="AY7" s="61" t="s">
        <v>121</v>
      </c>
      <c r="AZ7" s="66" t="s">
        <v>0</v>
      </c>
      <c r="BA7" s="68" t="s">
        <v>1</v>
      </c>
      <c r="BC7" s="7" t="s">
        <v>6</v>
      </c>
      <c r="BD7" s="13"/>
      <c r="BE7" s="13" t="s">
        <v>7</v>
      </c>
      <c r="BF7" s="33"/>
      <c r="BG7" s="33"/>
      <c r="BH7" s="13"/>
      <c r="BI7" s="8"/>
      <c r="BJ7" s="61" t="s">
        <v>121</v>
      </c>
      <c r="BK7" s="66" t="s">
        <v>0</v>
      </c>
      <c r="BL7" s="68" t="s">
        <v>1</v>
      </c>
    </row>
    <row r="8" spans="1:64" ht="20.25">
      <c r="A8" s="37" t="s">
        <v>8</v>
      </c>
      <c r="B8" s="37" t="s">
        <v>9</v>
      </c>
      <c r="C8" s="2"/>
      <c r="D8" s="37" t="s">
        <v>10</v>
      </c>
      <c r="E8" s="15" t="s">
        <v>11</v>
      </c>
      <c r="F8" s="37" t="s">
        <v>10</v>
      </c>
      <c r="G8" s="10" t="s">
        <v>12</v>
      </c>
      <c r="H8" s="37" t="s">
        <v>10</v>
      </c>
      <c r="I8" s="10" t="s">
        <v>12</v>
      </c>
      <c r="J8" s="37" t="s">
        <v>10</v>
      </c>
      <c r="K8" s="10" t="s">
        <v>12</v>
      </c>
      <c r="M8" s="51" t="s">
        <v>13</v>
      </c>
      <c r="N8" s="15" t="s">
        <v>14</v>
      </c>
      <c r="O8" s="51" t="s">
        <v>13</v>
      </c>
      <c r="P8" s="15" t="s">
        <v>14</v>
      </c>
      <c r="Q8" s="51" t="s">
        <v>13</v>
      </c>
      <c r="R8" s="15" t="s">
        <v>14</v>
      </c>
      <c r="S8" s="62" t="s">
        <v>15</v>
      </c>
      <c r="T8" s="71" t="s">
        <v>16</v>
      </c>
      <c r="U8" s="62">
        <f>$G$4</f>
        <v>0.05</v>
      </c>
      <c r="V8" s="48" t="s">
        <v>17</v>
      </c>
      <c r="X8" s="31" t="s">
        <v>18</v>
      </c>
      <c r="Y8" s="52" t="s">
        <v>69</v>
      </c>
      <c r="Z8" s="27" t="s">
        <v>19</v>
      </c>
      <c r="AA8" s="4"/>
      <c r="AB8" s="4" t="s">
        <v>8</v>
      </c>
      <c r="AC8" s="4" t="s">
        <v>9</v>
      </c>
      <c r="AD8" s="4" t="s">
        <v>20</v>
      </c>
      <c r="AE8" s="4" t="s">
        <v>21</v>
      </c>
      <c r="AF8" s="4" t="s">
        <v>22</v>
      </c>
      <c r="AG8" s="4" t="s">
        <v>23</v>
      </c>
      <c r="AH8" s="4" t="s">
        <v>24</v>
      </c>
      <c r="AI8" s="43" t="s">
        <v>25</v>
      </c>
      <c r="AJ8" s="43" t="s">
        <v>74</v>
      </c>
      <c r="AK8" s="49"/>
      <c r="AL8" s="50" t="s">
        <v>27</v>
      </c>
      <c r="AM8" s="54" t="s">
        <v>14</v>
      </c>
      <c r="AN8" s="62" t="s">
        <v>15</v>
      </c>
      <c r="AO8" s="71" t="s">
        <v>16</v>
      </c>
      <c r="AP8" s="62">
        <f>$G$4</f>
        <v>0.05</v>
      </c>
      <c r="AR8" s="9" t="s">
        <v>25</v>
      </c>
      <c r="AS8" s="4" t="s">
        <v>24</v>
      </c>
      <c r="AT8" s="4" t="s">
        <v>28</v>
      </c>
      <c r="AU8" s="34" t="s">
        <v>29</v>
      </c>
      <c r="AV8" s="34" t="s">
        <v>27</v>
      </c>
      <c r="AW8" s="4" t="s">
        <v>12</v>
      </c>
      <c r="AX8" s="54" t="s">
        <v>30</v>
      </c>
      <c r="AY8" s="62" t="s">
        <v>15</v>
      </c>
      <c r="AZ8" s="71" t="s">
        <v>16</v>
      </c>
      <c r="BA8" s="62">
        <f>$G$4</f>
        <v>0.05</v>
      </c>
      <c r="BC8" s="9" t="s">
        <v>26</v>
      </c>
      <c r="BD8" s="4" t="s">
        <v>24</v>
      </c>
      <c r="BE8" s="4" t="s">
        <v>28</v>
      </c>
      <c r="BF8" s="34" t="s">
        <v>31</v>
      </c>
      <c r="BG8" s="34" t="s">
        <v>27</v>
      </c>
      <c r="BH8" s="4" t="s">
        <v>12</v>
      </c>
      <c r="BI8" s="10" t="s">
        <v>32</v>
      </c>
      <c r="BJ8" s="62" t="s">
        <v>15</v>
      </c>
      <c r="BK8" s="71" t="s">
        <v>16</v>
      </c>
      <c r="BL8" s="62">
        <f>$G$4</f>
        <v>0.05</v>
      </c>
    </row>
    <row r="9" spans="1:64" s="104" customFormat="1">
      <c r="A9" s="96" t="s">
        <v>33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M9" s="105" t="e">
        <f t="shared" ref="M9:M18" si="0">$D9/$H9</f>
        <v>#DIV/0!</v>
      </c>
      <c r="N9" s="104" t="e">
        <f t="shared" ref="N9:N18" si="1">FDIST(M9,$E9,$I9)</f>
        <v>#DIV/0!</v>
      </c>
      <c r="O9" s="105" t="e">
        <f t="shared" ref="O9:O18" si="2">$F9/$H9</f>
        <v>#DIV/0!</v>
      </c>
      <c r="P9" s="104" t="e">
        <f t="shared" ref="P9:P18" si="3">FDIST(O9,$G9,$I9)</f>
        <v>#DIV/0!</v>
      </c>
      <c r="Q9" s="105" t="e">
        <f t="shared" ref="Q9:Q18" si="4">$H9/$J9</f>
        <v>#DIV/0!</v>
      </c>
      <c r="R9" s="104" t="e">
        <f t="shared" ref="R9:R18" si="5">FDIST(Q9,$I9,$K9)</f>
        <v>#DIV/0!</v>
      </c>
      <c r="S9" s="106">
        <f t="shared" ref="S9:S18" si="6">$G$4/T9</f>
        <v>5.5555555555555558E-3</v>
      </c>
      <c r="T9" s="107">
        <f t="shared" ref="T9:T18" si="7">IF(ROW(T9)&gt;10,T8-1,$I$4)</f>
        <v>9</v>
      </c>
      <c r="U9" s="108" t="e">
        <f t="shared" ref="U9:U18" si="8">IF(ROW(U9)&gt;$K$4,IF(AND(R9&lt;S9,LEN(U8)=1),"*","n.s."),IF(R9&lt;S9,"*","n.s."))</f>
        <v>#DIV/0!</v>
      </c>
      <c r="V9" s="105" t="e">
        <f t="shared" ref="V9:V18" si="9">100*$J9/$H9</f>
        <v>#DIV/0!</v>
      </c>
      <c r="X9" s="109">
        <f t="shared" ref="X9:X18" si="10">($K9/(($E9+1)*($G9+1)))+1</f>
        <v>1</v>
      </c>
      <c r="Y9" s="110">
        <f t="shared" ref="Y9:Y18" si="11">($H9-$J9)/X9</f>
        <v>0</v>
      </c>
      <c r="Z9" s="111" t="e">
        <f t="shared" ref="Z9:Z18" si="12">(($H9-$J9)*($H9-$J9))/((($H9*$H9)/$I9)+(($J9*$J9)/$K9))</f>
        <v>#DIV/0!</v>
      </c>
      <c r="AB9" s="102" t="str">
        <f t="shared" ref="AB9:AB18" si="13">$A9</f>
        <v>FORUMULAE!!!  DO NOT ENTER VALUES IN THIS ROW --&gt;</v>
      </c>
      <c r="AC9" s="102">
        <f t="shared" ref="AC9:AC18" si="14">$B9</f>
        <v>0</v>
      </c>
      <c r="AH9" s="103"/>
      <c r="AI9" s="112"/>
      <c r="AJ9" s="112"/>
      <c r="AK9" s="112"/>
      <c r="AL9" s="112" t="e">
        <f t="shared" ref="AL9:AL18" si="15">$AF9/$AG9</f>
        <v>#DIV/0!</v>
      </c>
      <c r="AM9" s="106" t="e">
        <f t="shared" ref="AM9:AM18" si="16">TDIST(ABS($AL9),($AH9-1),2)</f>
        <v>#DIV/0!</v>
      </c>
      <c r="AN9" s="106">
        <f t="shared" ref="AN9:AN18" si="17">$G$4/AO9</f>
        <v>5.5555555555555558E-3</v>
      </c>
      <c r="AO9" s="107">
        <f t="shared" ref="AO9:AO18" si="18">IF(ROW(AO9)&gt;10,AO8-1,$I$4)</f>
        <v>9</v>
      </c>
      <c r="AP9" s="108" t="e">
        <f t="shared" ref="AP9:AP18" si="19">IF(ROW(AP9)&gt;$K$4,IF(AND(AM9&lt;AN9,LEN(AP8)=1),"*","n.s."),IF(AM9&lt;AN9,"*","n.s."))</f>
        <v>#DIV/0!</v>
      </c>
      <c r="AR9" s="113">
        <f t="shared" ref="AR9:AR18" si="20">$AI9</f>
        <v>0</v>
      </c>
      <c r="AS9" s="104">
        <f t="shared" ref="AS9:AS18" si="21">$AH9</f>
        <v>0</v>
      </c>
      <c r="AT9" s="103">
        <v>0</v>
      </c>
      <c r="AU9" s="113">
        <f t="shared" ref="AU9:AU18" si="22">SQRT((6*$AS9*($AS9-1))/(($AS9-2)*($AS9+1)*($AS9+3)))</f>
        <v>0</v>
      </c>
      <c r="AV9" s="113" t="e">
        <f t="shared" ref="AV9:AV18" si="23">(AR9-AT9)/AU9</f>
        <v>#DIV/0!</v>
      </c>
      <c r="AW9" s="103" t="s">
        <v>34</v>
      </c>
      <c r="AX9" s="106" t="e">
        <f t="shared" ref="AX9:AX18" si="24">TDIST(ABS(AV9),10000,2)</f>
        <v>#DIV/0!</v>
      </c>
      <c r="AY9" s="106">
        <f t="shared" ref="AY9:AY18" si="25">$G$4/AZ9</f>
        <v>5.5555555555555558E-3</v>
      </c>
      <c r="AZ9" s="107">
        <f t="shared" ref="AZ9:AZ18" si="26">IF(ROW(AZ9)&gt;10,AZ8-1,$I$4)</f>
        <v>9</v>
      </c>
      <c r="BA9" s="108" t="e">
        <f t="shared" ref="BA9:BA18" si="27">IF(ROW(BA9)&gt;$K$4,IF(AND(AX9&lt;AY9,LEN(BA8)=1),"*","n.s."),IF(AX9&lt;AY9,"*","n.s."))</f>
        <v>#DIV/0!</v>
      </c>
      <c r="BC9" s="113">
        <f t="shared" ref="BC9:BC18" si="28">$AJ9</f>
        <v>0</v>
      </c>
      <c r="BD9" s="104">
        <f t="shared" ref="BD9:BD18" si="29">$AH9</f>
        <v>0</v>
      </c>
      <c r="BE9" s="103">
        <v>0</v>
      </c>
      <c r="BF9" s="113">
        <f t="shared" ref="BF9:BF18" si="30">SQRT((24*$BD9*($BD9-1)*($BD9-1))/(($BD9-3)*($BD9-2)*($BD9+3)*($BD9+5)))</f>
        <v>0</v>
      </c>
      <c r="BG9" s="113" t="e">
        <f t="shared" ref="BG9:BG18" si="31">(BC9-BE9)/BF9</f>
        <v>#DIV/0!</v>
      </c>
      <c r="BH9" s="103" t="s">
        <v>34</v>
      </c>
      <c r="BI9" s="104" t="e">
        <f t="shared" ref="BI9:BI18" si="32">TDIST(ABS(BG9),10000,2)</f>
        <v>#DIV/0!</v>
      </c>
      <c r="BJ9" s="106">
        <f t="shared" ref="BJ9:BJ18" si="33">$G$4/BK9</f>
        <v>5.5555555555555558E-3</v>
      </c>
      <c r="BK9" s="107">
        <f t="shared" ref="BK9:BK18" si="34">IF(ROW(BK9)&gt;10,BK8-1,$I$4)</f>
        <v>9</v>
      </c>
      <c r="BL9" s="108" t="e">
        <f t="shared" ref="BL9:BL18" si="35">IF(ROW(BL9)&gt;$K$4,IF(AND(BI9&lt;BJ9,LEN(BL8)=1),"*","n.s."),IF(BI9&lt;BJ9,"*","n.s."))</f>
        <v>#DIV/0!</v>
      </c>
    </row>
    <row r="10" spans="1:64" s="104" customFormat="1" ht="15">
      <c r="A10" s="117" t="s">
        <v>133</v>
      </c>
      <c r="B10" s="117" t="s">
        <v>127</v>
      </c>
      <c r="C10" s="117"/>
      <c r="D10" s="117">
        <v>11.56</v>
      </c>
      <c r="E10" s="117">
        <v>1</v>
      </c>
      <c r="F10" s="117">
        <v>11.71</v>
      </c>
      <c r="G10" s="117">
        <v>33</v>
      </c>
      <c r="H10" s="117">
        <v>0.218</v>
      </c>
      <c r="I10" s="117">
        <v>33</v>
      </c>
      <c r="J10" s="117">
        <v>1.116E-2</v>
      </c>
      <c r="K10" s="117">
        <v>612</v>
      </c>
      <c r="L10"/>
      <c r="M10" s="105">
        <f>$D10/$H10</f>
        <v>53.027522935779821</v>
      </c>
      <c r="N10" s="104">
        <f>FDIST(M10,$E10,$I10)</f>
        <v>2.3496357534130555E-8</v>
      </c>
      <c r="O10" s="105">
        <f>$F10/$H10</f>
        <v>53.715596330275233</v>
      </c>
      <c r="P10" s="104">
        <f>FDIST(O10,$G10,$I10)</f>
        <v>9.4745802385274616E-21</v>
      </c>
      <c r="Q10" s="105">
        <f>$H10/$J10</f>
        <v>19.534050179211469</v>
      </c>
      <c r="R10" s="104">
        <f>FDIST(Q10,$I10,$K10)</f>
        <v>8.1073520552933237E-75</v>
      </c>
      <c r="S10" s="106">
        <f>$G$4/T10</f>
        <v>5.5555555555555558E-3</v>
      </c>
      <c r="T10" s="107">
        <f>IF(ROW(T10)&gt;10,T9-1,$I$4)</f>
        <v>9</v>
      </c>
      <c r="U10" s="108" t="str">
        <f>IF(ROW(U10)&gt;$K$4,IF(AND(R10&lt;S10,LEN(U9)=1),"*","n.s."),IF(R10&lt;S10,"*","n.s."))</f>
        <v>*</v>
      </c>
      <c r="V10" s="105">
        <f>100*$J10/$H10</f>
        <v>5.1192660550458706</v>
      </c>
      <c r="X10" s="109">
        <f>($K10/(($E10+1)*($G10+1)))+1</f>
        <v>10</v>
      </c>
      <c r="Y10" s="110">
        <f>($H10-$J10)/X10</f>
        <v>2.0684000000000001E-2</v>
      </c>
      <c r="Z10" s="111">
        <f>(($H10-$J10)*($H10-$J10))/((($H10*$H10)/$I10)+(($J10*$J10)/$K10))</f>
        <v>29.703569663999964</v>
      </c>
      <c r="AB10" s="102" t="str">
        <f>$A10</f>
        <v>malebreadth</v>
      </c>
      <c r="AC10" s="102" t="str">
        <f>$B10</f>
        <v>MXM2</v>
      </c>
      <c r="AD10">
        <v>12.08</v>
      </c>
      <c r="AE10">
        <v>0.13</v>
      </c>
      <c r="AF10">
        <v>-0.26</v>
      </c>
      <c r="AG10">
        <v>0.04</v>
      </c>
      <c r="AH10">
        <v>34</v>
      </c>
      <c r="AI10">
        <v>0.1530242</v>
      </c>
      <c r="AJ10">
        <v>0.69043270000000001</v>
      </c>
      <c r="AK10" s="42"/>
      <c r="AL10" s="112">
        <f>$AF10/$AG10</f>
        <v>-6.5</v>
      </c>
      <c r="AM10" s="106">
        <f>TDIST(ABS($AL10),($AH10-1),2)</f>
        <v>2.2316510377945531E-7</v>
      </c>
      <c r="AN10" s="106">
        <f>$G$4/AO10</f>
        <v>5.5555555555555558E-3</v>
      </c>
      <c r="AO10" s="107">
        <f>IF(ROW(AO10)&gt;10,AO9-1,$I$4)</f>
        <v>9</v>
      </c>
      <c r="AP10" s="108" t="str">
        <f>IF(ROW(AP10)&gt;$K$4,IF(AND(AM10&lt;AN10,LEN(AP9)=1),"*","n.s."),IF(AM10&lt;AN10,"*","n.s."))</f>
        <v>*</v>
      </c>
      <c r="AR10" s="113">
        <f>$AI10</f>
        <v>0.1530242</v>
      </c>
      <c r="AS10" s="104">
        <f>$AH10</f>
        <v>34</v>
      </c>
      <c r="AT10" s="103">
        <v>0</v>
      </c>
      <c r="AU10" s="113">
        <f>SQRT((6*$AS10*($AS10-1))/(($AS10-2)*($AS10+1)*($AS10+3)))</f>
        <v>0.40305302064584186</v>
      </c>
      <c r="AV10" s="113">
        <f>(AR10-AT10)/AU10</f>
        <v>0.37966270480940184</v>
      </c>
      <c r="AW10" s="103" t="s">
        <v>34</v>
      </c>
      <c r="AX10" s="106">
        <f>TDIST(ABS(AV10),10000,2)</f>
        <v>0.70420387020271391</v>
      </c>
      <c r="AY10" s="106">
        <f>$G$4/AZ10</f>
        <v>5.5555555555555558E-3</v>
      </c>
      <c r="AZ10" s="107">
        <f>IF(ROW(AZ10)&gt;10,AZ9-1,$I$4)</f>
        <v>9</v>
      </c>
      <c r="BA10" s="108" t="str">
        <f>IF(ROW(BA10)&gt;$K$4,IF(AND(AX10&lt;AY10,LEN(BA9)=1),"*","n.s."),IF(AX10&lt;AY10,"*","n.s."))</f>
        <v>n.s.</v>
      </c>
      <c r="BC10" s="113">
        <f>$AJ10</f>
        <v>0.69043270000000001</v>
      </c>
      <c r="BD10" s="104">
        <f>$AH10</f>
        <v>34</v>
      </c>
      <c r="BE10" s="103">
        <v>0</v>
      </c>
      <c r="BF10" s="113">
        <f>SQRT((24*$BD10*($BD10-1)*($BD10-1))/(($BD10-3)*($BD10-2)*($BD10+3)*($BD10+5)))</f>
        <v>0.78789803549171344</v>
      </c>
      <c r="BG10" s="113">
        <f>(BC10-BE10)/BF10</f>
        <v>0.87629701928259407</v>
      </c>
      <c r="BH10" s="103" t="s">
        <v>34</v>
      </c>
      <c r="BI10" s="104">
        <f>TDIST(ABS(BG10),10000,2)</f>
        <v>0.3808896340682052</v>
      </c>
      <c r="BJ10" s="106">
        <f>$G$4/BK10</f>
        <v>5.5555555555555558E-3</v>
      </c>
      <c r="BK10" s="107">
        <f>IF(ROW(BK10)&gt;10,BK9-1,$I$4)</f>
        <v>9</v>
      </c>
      <c r="BL10" s="108" t="str">
        <f>IF(ROW(BL10)&gt;$K$4,IF(AND(BI10&lt;BJ10,LEN(BL9)=1),"*","n.s."),IF(BI10&lt;BJ10,"*","n.s."))</f>
        <v>n.s.</v>
      </c>
    </row>
    <row r="11" spans="1:64" s="104" customFormat="1" ht="15">
      <c r="A11" s="117" t="s">
        <v>133</v>
      </c>
      <c r="B11" s="117" t="s">
        <v>126</v>
      </c>
      <c r="C11" s="117"/>
      <c r="D11" s="117">
        <v>3.9329999999999998</v>
      </c>
      <c r="E11" s="117">
        <v>1</v>
      </c>
      <c r="F11" s="117">
        <v>3.8759999999999999</v>
      </c>
      <c r="G11" s="117">
        <v>30</v>
      </c>
      <c r="H11" s="117">
        <v>8.1000000000000003E-2</v>
      </c>
      <c r="I11" s="117">
        <v>30</v>
      </c>
      <c r="J11" s="117">
        <v>8.2330000000000007E-3</v>
      </c>
      <c r="K11" s="117">
        <v>558</v>
      </c>
      <c r="L11"/>
      <c r="M11" s="105">
        <f>$D11/$H11</f>
        <v>48.55555555555555</v>
      </c>
      <c r="N11" s="104">
        <f>FDIST(M11,$E11,$I11)</f>
        <v>9.6684728463238548E-8</v>
      </c>
      <c r="O11" s="105">
        <f>$F11/$H11</f>
        <v>47.851851851851848</v>
      </c>
      <c r="P11" s="104">
        <f>FDIST(O11,$G11,$I11)</f>
        <v>2.7457400088149626E-18</v>
      </c>
      <c r="Q11" s="105">
        <f>$H11/$J11</f>
        <v>9.8384549981780633</v>
      </c>
      <c r="R11" s="104">
        <f>FDIST(Q11,$I11,$K11)</f>
        <v>4.0007564296510414E-35</v>
      </c>
      <c r="S11" s="106">
        <f>$G$4/T11</f>
        <v>6.2500000000000003E-3</v>
      </c>
      <c r="T11" s="107">
        <f>IF(ROW(T11)&gt;10,T10-1,$I$4)</f>
        <v>8</v>
      </c>
      <c r="U11" s="108" t="str">
        <f>IF(ROW(U11)&gt;$K$4,IF(AND(R11&lt;S11,LEN(U10)=1),"*","n.s."),IF(R11&lt;S11,"*","n.s."))</f>
        <v>*</v>
      </c>
      <c r="V11" s="105">
        <f>100*$J11/$H11</f>
        <v>10.164197530864197</v>
      </c>
      <c r="X11" s="109">
        <f>($K11/(($E11+1)*($G11+1)))+1</f>
        <v>10</v>
      </c>
      <c r="Y11" s="110">
        <f>($H11-$J11)/X11</f>
        <v>7.2766999999999997E-3</v>
      </c>
      <c r="Z11" s="111">
        <f>(($H11-$J11)*($H11-$J11))/((($H11*$H11)/$I11)+(($J11*$J11)/$K11))</f>
        <v>24.197973814047177</v>
      </c>
      <c r="AB11" s="102" t="str">
        <f>$A11</f>
        <v>malebreadth</v>
      </c>
      <c r="AC11" s="102" t="str">
        <f>$B11</f>
        <v>MXM1</v>
      </c>
      <c r="AD11">
        <v>10.42</v>
      </c>
      <c r="AE11">
        <v>0.08</v>
      </c>
      <c r="AF11">
        <v>-0.16</v>
      </c>
      <c r="AG11">
        <v>0.02</v>
      </c>
      <c r="AH11">
        <v>31</v>
      </c>
      <c r="AI11">
        <v>0.91399660000000005</v>
      </c>
      <c r="AJ11">
        <v>0.44175330000000002</v>
      </c>
      <c r="AK11" s="42"/>
      <c r="AL11" s="112">
        <f>$AF11/$AG11</f>
        <v>-8</v>
      </c>
      <c r="AM11" s="106">
        <f>TDIST(ABS($AL11),($AH11-1),2)</f>
        <v>6.2658224757007789E-9</v>
      </c>
      <c r="AN11" s="106">
        <f>$G$4/AO11</f>
        <v>6.2500000000000003E-3</v>
      </c>
      <c r="AO11" s="107">
        <f>IF(ROW(AO11)&gt;10,AO10-1,$I$4)</f>
        <v>8</v>
      </c>
      <c r="AP11" s="108" t="str">
        <f>IF(ROW(AP11)&gt;$K$4,IF(AND(AM11&lt;AN11,LEN(AP10)=1),"*","n.s."),IF(AM11&lt;AN11,"*","n.s."))</f>
        <v>*</v>
      </c>
      <c r="AR11" s="113">
        <f>$AI11</f>
        <v>0.91399660000000005</v>
      </c>
      <c r="AS11" s="104">
        <f>$AH11</f>
        <v>31</v>
      </c>
      <c r="AT11" s="103">
        <v>0</v>
      </c>
      <c r="AU11" s="113">
        <f>SQRT((6*$AS11*($AS11-1))/(($AS11-2)*($AS11+1)*($AS11+3)))</f>
        <v>0.42053645832306225</v>
      </c>
      <c r="AV11" s="113">
        <f>(AR11-AT11)/AU11</f>
        <v>2.1734063287750773</v>
      </c>
      <c r="AW11" s="103" t="s">
        <v>34</v>
      </c>
      <c r="AX11" s="106">
        <f>TDIST(ABS(AV11),10000,2)</f>
        <v>2.9773137426319048E-2</v>
      </c>
      <c r="AY11" s="106">
        <f>$G$4/AZ11</f>
        <v>6.2500000000000003E-3</v>
      </c>
      <c r="AZ11" s="107">
        <f>IF(ROW(AZ11)&gt;10,AZ10-1,$I$4)</f>
        <v>8</v>
      </c>
      <c r="BA11" s="108" t="str">
        <f>IF(ROW(BA11)&gt;$K$4,IF(AND(AX11&lt;AY11,LEN(BA10)=1),"*","n.s."),IF(AX11&lt;AY11,"*","n.s."))</f>
        <v>n.s.</v>
      </c>
      <c r="BC11" s="113">
        <f>$AJ11</f>
        <v>0.44175330000000002</v>
      </c>
      <c r="BD11" s="104">
        <f>$AH11</f>
        <v>31</v>
      </c>
      <c r="BE11" s="103">
        <v>0</v>
      </c>
      <c r="BF11" s="113">
        <f>SQRT((24*$BD11*($BD11-1)*($BD11-1))/(($BD11-3)*($BD11-2)*($BD11+3)*($BD11+5)))</f>
        <v>0.8208031207099884</v>
      </c>
      <c r="BG11" s="113">
        <f>(BC11-BE11)/BF11</f>
        <v>0.53819641867088275</v>
      </c>
      <c r="BH11" s="103" t="s">
        <v>34</v>
      </c>
      <c r="BI11" s="104">
        <f>TDIST(ABS(BG11),10000,2)</f>
        <v>0.59045343041774367</v>
      </c>
      <c r="BJ11" s="106">
        <f>$G$4/BK11</f>
        <v>6.2500000000000003E-3</v>
      </c>
      <c r="BK11" s="107">
        <f>IF(ROW(BK11)&gt;10,BK10-1,$I$4)</f>
        <v>8</v>
      </c>
      <c r="BL11" s="108" t="str">
        <f>IF(ROW(BL11)&gt;$K$4,IF(AND(BI11&lt;BJ11,LEN(BL10)=1),"*","n.s."),IF(BI11&lt;BJ11,"*","n.s."))</f>
        <v>n.s.</v>
      </c>
    </row>
    <row r="12" spans="1:64" s="104" customFormat="1" ht="15">
      <c r="A12" s="117" t="s">
        <v>133</v>
      </c>
      <c r="B12" s="117" t="s">
        <v>130</v>
      </c>
      <c r="C12" s="117"/>
      <c r="D12" s="117">
        <v>9.6489999999999991</v>
      </c>
      <c r="E12" s="117">
        <v>1</v>
      </c>
      <c r="F12" s="117">
        <v>5.415</v>
      </c>
      <c r="G12" s="117">
        <v>28</v>
      </c>
      <c r="H12" s="117">
        <v>0.22600000000000001</v>
      </c>
      <c r="I12" s="117">
        <v>28</v>
      </c>
      <c r="J12" s="117">
        <v>1.5810000000000001E-2</v>
      </c>
      <c r="K12" s="117">
        <v>522</v>
      </c>
      <c r="L12"/>
      <c r="M12" s="105">
        <f>$D12/$H12</f>
        <v>42.69469026548672</v>
      </c>
      <c r="N12" s="104">
        <f>FDIST(M12,$E12,$I12)</f>
        <v>4.402850808907935E-7</v>
      </c>
      <c r="O12" s="105">
        <f>$F12/$H12</f>
        <v>23.960176991150441</v>
      </c>
      <c r="P12" s="104">
        <f>FDIST(O12,$G12,$I12)</f>
        <v>3.356575789347749E-13</v>
      </c>
      <c r="Q12" s="105">
        <f>$H12/$J12</f>
        <v>14.294750158127767</v>
      </c>
      <c r="R12" s="104">
        <f>FDIST(Q12,$I12,$K12)</f>
        <v>3.743175574147845E-48</v>
      </c>
      <c r="S12" s="106">
        <f>$G$4/T12</f>
        <v>7.1428571428571435E-3</v>
      </c>
      <c r="T12" s="107">
        <f>IF(ROW(T12)&gt;10,T11-1,$I$4)</f>
        <v>7</v>
      </c>
      <c r="U12" s="108" t="str">
        <f>IF(ROW(U12)&gt;$K$4,IF(AND(R12&lt;S12,LEN(U11)=1),"*","n.s."),IF(R12&lt;S12,"*","n.s."))</f>
        <v>*</v>
      </c>
      <c r="V12" s="105">
        <f>100*$J12/$H12</f>
        <v>6.9955752212389388</v>
      </c>
      <c r="X12" s="109">
        <f>($K12/(($E12+1)*($G12+1)))+1</f>
        <v>10</v>
      </c>
      <c r="Y12" s="110">
        <f>($H12-$J12)/X12</f>
        <v>2.1019000000000003E-2</v>
      </c>
      <c r="Z12" s="111">
        <f>(($H12-$J12)*($H12-$J12))/((($H12*$H12)/$I12)+(($J12*$J12)/$K12))</f>
        <v>24.213148453751359</v>
      </c>
      <c r="AB12" s="102" t="str">
        <f>$A12</f>
        <v>malebreadth</v>
      </c>
      <c r="AC12" s="102" t="str">
        <f>$B12</f>
        <v>MXP4</v>
      </c>
      <c r="AD12">
        <v>9.25</v>
      </c>
      <c r="AE12">
        <v>0.1</v>
      </c>
      <c r="AF12">
        <v>-0.26</v>
      </c>
      <c r="AG12">
        <v>0.04</v>
      </c>
      <c r="AH12">
        <v>29</v>
      </c>
      <c r="AI12">
        <v>0.82290609999999997</v>
      </c>
      <c r="AJ12">
        <v>0.2401576</v>
      </c>
      <c r="AK12" s="42"/>
      <c r="AL12" s="112">
        <f>$AF12/$AG12</f>
        <v>-6.5</v>
      </c>
      <c r="AM12" s="106">
        <f>TDIST(ABS($AL12),($AH12-1),2)</f>
        <v>4.8185110376783163E-7</v>
      </c>
      <c r="AN12" s="106">
        <f>$G$4/AO12</f>
        <v>7.1428571428571435E-3</v>
      </c>
      <c r="AO12" s="107">
        <f>IF(ROW(AO12)&gt;10,AO11-1,$I$4)</f>
        <v>7</v>
      </c>
      <c r="AP12" s="108" t="str">
        <f>IF(ROW(AP12)&gt;$K$4,IF(AND(AM12&lt;AN12,LEN(AP11)=1),"*","n.s."),IF(AM12&lt;AN12,"*","n.s."))</f>
        <v>*</v>
      </c>
      <c r="AR12" s="113">
        <f>$AI12</f>
        <v>0.82290609999999997</v>
      </c>
      <c r="AS12" s="104">
        <f>$AH12</f>
        <v>29</v>
      </c>
      <c r="AT12" s="103">
        <v>0</v>
      </c>
      <c r="AU12" s="113">
        <f>SQRT((6*$AS12*($AS12-1))/(($AS12-2)*($AS12+1)*($AS12+3)))</f>
        <v>0.43354695589170383</v>
      </c>
      <c r="AV12" s="113">
        <f>(AR12-AT12)/AU12</f>
        <v>1.898078371482222</v>
      </c>
      <c r="AW12" s="103" t="s">
        <v>34</v>
      </c>
      <c r="AX12" s="106">
        <f>TDIST(ABS(AV12),10000,2)</f>
        <v>5.7714526301060193E-2</v>
      </c>
      <c r="AY12" s="106">
        <f>$G$4/AZ12</f>
        <v>7.1428571428571435E-3</v>
      </c>
      <c r="AZ12" s="107">
        <f>IF(ROW(AZ12)&gt;10,AZ11-1,$I$4)</f>
        <v>7</v>
      </c>
      <c r="BA12" s="108" t="str">
        <f>IF(ROW(BA12)&gt;$K$4,IF(AND(AX12&lt;AY12,LEN(BA11)=1),"*","n.s."),IF(AX12&lt;AY12,"*","n.s."))</f>
        <v>n.s.</v>
      </c>
      <c r="BC12" s="113">
        <f>$AJ12</f>
        <v>0.2401576</v>
      </c>
      <c r="BD12" s="104">
        <f>$AH12</f>
        <v>29</v>
      </c>
      <c r="BE12" s="103">
        <v>0</v>
      </c>
      <c r="BF12" s="113">
        <f>SQRT((24*$BD12*($BD12-1)*($BD12-1))/(($BD12-3)*($BD12-2)*($BD12+3)*($BD12+5)))</f>
        <v>0.84523923328734862</v>
      </c>
      <c r="BG12" s="113">
        <f>(BC12-BE12)/BF12</f>
        <v>0.28412973575063061</v>
      </c>
      <c r="BH12" s="103" t="s">
        <v>34</v>
      </c>
      <c r="BI12" s="104">
        <f>TDIST(ABS(BG12),10000,2)</f>
        <v>0.77631684250151123</v>
      </c>
      <c r="BJ12" s="106">
        <f>$G$4/BK12</f>
        <v>7.1428571428571435E-3</v>
      </c>
      <c r="BK12" s="107">
        <f>IF(ROW(BK12)&gt;10,BK11-1,$I$4)</f>
        <v>7</v>
      </c>
      <c r="BL12" s="108" t="str">
        <f>IF(ROW(BL12)&gt;$K$4,IF(AND(BI12&lt;BJ12,LEN(BL11)=1),"*","n.s."),IF(BI12&lt;BJ12,"*","n.s."))</f>
        <v>n.s.</v>
      </c>
    </row>
    <row r="13" spans="1:64" s="104" customFormat="1" ht="15">
      <c r="A13" s="117" t="s">
        <v>133</v>
      </c>
      <c r="B13" s="117" t="s">
        <v>129</v>
      </c>
      <c r="C13" s="117"/>
      <c r="D13" s="117">
        <v>0.98209999999999997</v>
      </c>
      <c r="E13" s="117">
        <v>1</v>
      </c>
      <c r="F13" s="117">
        <v>5.9829999999999997</v>
      </c>
      <c r="G13" s="117">
        <v>24</v>
      </c>
      <c r="H13" s="117">
        <v>0.32879999999999998</v>
      </c>
      <c r="I13" s="117">
        <v>24</v>
      </c>
      <c r="J13" s="117">
        <v>1.5879999999999998E-2</v>
      </c>
      <c r="K13" s="117">
        <v>450</v>
      </c>
      <c r="L13"/>
      <c r="M13" s="105">
        <f>$D13/$H13</f>
        <v>2.9869221411192215</v>
      </c>
      <c r="N13" s="104">
        <f>FDIST(M13,$E13,$I13)</f>
        <v>9.6786575628891966E-2</v>
      </c>
      <c r="O13" s="105">
        <f>$F13/$H13</f>
        <v>18.196472019464721</v>
      </c>
      <c r="P13" s="104">
        <f>FDIST(O13,$G13,$I13)</f>
        <v>3.1426089757607727E-10</v>
      </c>
      <c r="Q13" s="105">
        <f>$H13/$J13</f>
        <v>20.705289672544083</v>
      </c>
      <c r="R13" s="104">
        <f>FDIST(Q13,$I13,$K13)</f>
        <v>4.3547493118541676E-58</v>
      </c>
      <c r="S13" s="106">
        <f>$G$4/T13</f>
        <v>8.3333333333333332E-3</v>
      </c>
      <c r="T13" s="107">
        <f>IF(ROW(T13)&gt;10,T12-1,$I$4)</f>
        <v>6</v>
      </c>
      <c r="U13" s="108" t="str">
        <f>IF(ROW(U13)&gt;$K$4,IF(AND(R13&lt;S13,LEN(U12)=1),"*","n.s."),IF(R13&lt;S13,"*","n.s."))</f>
        <v>*</v>
      </c>
      <c r="V13" s="105">
        <f>100*$J13/$H13</f>
        <v>4.8296836982968365</v>
      </c>
      <c r="X13" s="109">
        <f>($K13/(($E13+1)*($G13+1)))+1</f>
        <v>10</v>
      </c>
      <c r="Y13" s="110">
        <f>($H13-$J13)/X13</f>
        <v>3.1292E-2</v>
      </c>
      <c r="Z13" s="111">
        <f>(($H13-$J13)*($H13-$J13))/((($H13*$H13)/$I13)+(($J13*$J13)/$K13))</f>
        <v>21.735029916288223</v>
      </c>
      <c r="AB13" s="102" t="str">
        <f>$A13</f>
        <v>malebreadth</v>
      </c>
      <c r="AC13" s="102" t="str">
        <f>$B13</f>
        <v>MXP3</v>
      </c>
      <c r="AD13">
        <v>8.16</v>
      </c>
      <c r="AE13">
        <v>0.11</v>
      </c>
      <c r="AF13">
        <v>-0.09</v>
      </c>
      <c r="AG13">
        <v>0.05</v>
      </c>
      <c r="AH13">
        <v>25</v>
      </c>
      <c r="AI13">
        <v>0.98125260000000003</v>
      </c>
      <c r="AJ13">
        <v>0.24189330000000001</v>
      </c>
      <c r="AK13" s="42"/>
      <c r="AL13" s="112">
        <f>$AF13/$AG13</f>
        <v>-1.7999999999999998</v>
      </c>
      <c r="AM13" s="106">
        <f>TDIST(ABS($AL13),($AH13-1),2)</f>
        <v>8.4444850922951203E-2</v>
      </c>
      <c r="AN13" s="106">
        <f>$G$4/AO13</f>
        <v>8.3333333333333332E-3</v>
      </c>
      <c r="AO13" s="107">
        <f>IF(ROW(AO13)&gt;10,AO12-1,$I$4)</f>
        <v>6</v>
      </c>
      <c r="AP13" s="108" t="str">
        <f>IF(ROW(AP13)&gt;$K$4,IF(AND(AM13&lt;AN13,LEN(AP12)=1),"*","n.s."),IF(AM13&lt;AN13,"*","n.s."))</f>
        <v>n.s.</v>
      </c>
      <c r="AR13" s="113">
        <f>$AI13</f>
        <v>0.98125260000000003</v>
      </c>
      <c r="AS13" s="104">
        <f>$AH13</f>
        <v>25</v>
      </c>
      <c r="AT13" s="103">
        <v>0</v>
      </c>
      <c r="AU13" s="113">
        <f>SQRT((6*$AS13*($AS13-1))/(($AS13-2)*($AS13+1)*($AS13+3)))</f>
        <v>0.4636835008013897</v>
      </c>
      <c r="AV13" s="113">
        <f>(AR13-AT13)/AU13</f>
        <v>2.1162120245902423</v>
      </c>
      <c r="AW13" s="103" t="s">
        <v>34</v>
      </c>
      <c r="AX13" s="106">
        <f>TDIST(ABS(AV13),10000,2)</f>
        <v>3.4351420162895455E-2</v>
      </c>
      <c r="AY13" s="106">
        <f>$G$4/AZ13</f>
        <v>8.3333333333333332E-3</v>
      </c>
      <c r="AZ13" s="107">
        <f>IF(ROW(AZ13)&gt;10,AZ12-1,$I$4)</f>
        <v>6</v>
      </c>
      <c r="BA13" s="108" t="str">
        <f>IF(ROW(BA13)&gt;$K$4,IF(AND(AX13&lt;AY13,LEN(BA12)=1),"*","n.s."),IF(AX13&lt;AY13,"*","n.s."))</f>
        <v>n.s.</v>
      </c>
      <c r="BC13" s="113">
        <f>$AJ13</f>
        <v>0.24189330000000001</v>
      </c>
      <c r="BD13" s="104">
        <f>$AH13</f>
        <v>25</v>
      </c>
      <c r="BE13" s="103">
        <v>0</v>
      </c>
      <c r="BF13" s="113">
        <f>SQRT((24*$BD13*($BD13-1)*($BD13-1))/(($BD13-3)*($BD13-2)*($BD13+3)*($BD13+5)))</f>
        <v>0.90172054625295417</v>
      </c>
      <c r="BG13" s="113">
        <f>(BC13-BE13)/BF13</f>
        <v>0.26825750062496984</v>
      </c>
      <c r="BH13" s="103" t="s">
        <v>34</v>
      </c>
      <c r="BI13" s="104">
        <f>TDIST(ABS(BG13),10000,2)</f>
        <v>0.78850665045279589</v>
      </c>
      <c r="BJ13" s="106">
        <f>$G$4/BK13</f>
        <v>8.3333333333333332E-3</v>
      </c>
      <c r="BK13" s="107">
        <f>IF(ROW(BK13)&gt;10,BK12-1,$I$4)</f>
        <v>6</v>
      </c>
      <c r="BL13" s="108" t="str">
        <f>IF(ROW(BL13)&gt;$K$4,IF(AND(BI13&lt;BJ13,LEN(BL12)=1),"*","n.s."),IF(BI13&lt;BJ13,"*","n.s."))</f>
        <v>n.s.</v>
      </c>
    </row>
    <row r="14" spans="1:64" s="104" customFormat="1" ht="15">
      <c r="A14" s="117" t="s">
        <v>133</v>
      </c>
      <c r="B14" s="117" t="s">
        <v>122</v>
      </c>
      <c r="C14" s="117"/>
      <c r="D14" s="117">
        <v>6.63</v>
      </c>
      <c r="E14" s="117">
        <v>1</v>
      </c>
      <c r="F14" s="117">
        <v>5.1630000000000003</v>
      </c>
      <c r="G14" s="117">
        <v>16</v>
      </c>
      <c r="H14" s="117">
        <v>0.11700000000000001</v>
      </c>
      <c r="I14" s="117">
        <v>16</v>
      </c>
      <c r="J14" s="117">
        <v>1.094E-2</v>
      </c>
      <c r="K14" s="117">
        <v>306</v>
      </c>
      <c r="L14"/>
      <c r="M14" s="105">
        <f>$D14/$H14</f>
        <v>56.666666666666664</v>
      </c>
      <c r="N14" s="104">
        <f>FDIST(M14,$E14,$I14)</f>
        <v>1.2100116018017515E-6</v>
      </c>
      <c r="O14" s="105">
        <f>$F14/$H14</f>
        <v>44.128205128205131</v>
      </c>
      <c r="P14" s="104">
        <f>FDIST(O14,$G14,$I14)</f>
        <v>3.2548632768888334E-10</v>
      </c>
      <c r="Q14" s="105">
        <f>$H14/$J14</f>
        <v>10.694698354661792</v>
      </c>
      <c r="R14" s="104">
        <f>FDIST(Q14,$I14,$K14)</f>
        <v>1.1847613257999536E-21</v>
      </c>
      <c r="S14" s="106">
        <f>$G$4/T14</f>
        <v>0.01</v>
      </c>
      <c r="T14" s="107">
        <f>IF(ROW(T14)&gt;10,T13-1,$I$4)</f>
        <v>5</v>
      </c>
      <c r="U14" s="108" t="str">
        <f>IF(ROW(U14)&gt;$K$4,IF(AND(R14&lt;S14,LEN(U13)=1),"*","n.s."),IF(R14&lt;S14,"*","n.s."))</f>
        <v>*</v>
      </c>
      <c r="V14" s="105">
        <f>100*$J14/$H14</f>
        <v>9.350427350427351</v>
      </c>
      <c r="X14" s="109">
        <f>($K14/(($E14+1)*($G14+1)))+1</f>
        <v>10</v>
      </c>
      <c r="Y14" s="110">
        <f>($H14-$J14)/X14</f>
        <v>1.0606000000000001E-2</v>
      </c>
      <c r="Z14" s="111">
        <f>(($H14-$J14)*($H14-$J14))/((($H14*$H14)/$I14)+(($J14*$J14)/$K14))</f>
        <v>13.141744248019824</v>
      </c>
      <c r="AB14" s="102" t="str">
        <f>$A14</f>
        <v>malebreadth</v>
      </c>
      <c r="AC14" s="102" t="str">
        <f>$B14</f>
        <v>MNM1</v>
      </c>
      <c r="AD14">
        <v>8.74</v>
      </c>
      <c r="AE14">
        <v>0.12</v>
      </c>
      <c r="AF14">
        <v>-0.28000000000000003</v>
      </c>
      <c r="AG14">
        <v>0.04</v>
      </c>
      <c r="AH14">
        <v>17</v>
      </c>
      <c r="AI14">
        <v>0.67856729999999998</v>
      </c>
      <c r="AJ14">
        <v>0.22084490000000001</v>
      </c>
      <c r="AK14" s="42"/>
      <c r="AL14" s="112">
        <f>$AF14/$AG14</f>
        <v>-7.0000000000000009</v>
      </c>
      <c r="AM14" s="106">
        <f>TDIST(ABS($AL14),($AH14-1),2)</f>
        <v>2.9958892639177484E-6</v>
      </c>
      <c r="AN14" s="106">
        <f>$G$4/AO14</f>
        <v>0.01</v>
      </c>
      <c r="AO14" s="107">
        <f>IF(ROW(AO14)&gt;10,AO13-1,$I$4)</f>
        <v>5</v>
      </c>
      <c r="AP14" s="108" t="str">
        <f>IF(ROW(AP14)&gt;$K$4,IF(AND(AM14&lt;AN14,LEN(AP13)=1),"*","n.s."),IF(AM14&lt;AN14,"*","n.s."))</f>
        <v>n.s.</v>
      </c>
      <c r="AR14" s="113">
        <f>$AI14</f>
        <v>0.67856729999999998</v>
      </c>
      <c r="AS14" s="104">
        <f>$AH14</f>
        <v>17</v>
      </c>
      <c r="AT14" s="103">
        <v>0</v>
      </c>
      <c r="AU14" s="113">
        <f>SQRT((6*$AS14*($AS14-1))/(($AS14-2)*($AS14+1)*($AS14+3)))</f>
        <v>0.54974741674902139</v>
      </c>
      <c r="AV14" s="113">
        <f>(AR14-AT14)/AU14</f>
        <v>1.2343255817603764</v>
      </c>
      <c r="AW14" s="103" t="s">
        <v>34</v>
      </c>
      <c r="AX14" s="106">
        <f>TDIST(ABS(AV14),10000,2)</f>
        <v>0.21711061222591038</v>
      </c>
      <c r="AY14" s="106">
        <f>$G$4/AZ14</f>
        <v>0.01</v>
      </c>
      <c r="AZ14" s="107">
        <f>IF(ROW(AZ14)&gt;10,AZ13-1,$I$4)</f>
        <v>5</v>
      </c>
      <c r="BA14" s="108" t="str">
        <f>IF(ROW(BA14)&gt;$K$4,IF(AND(AX14&lt;AY14,LEN(BA13)=1),"*","n.s."),IF(AX14&lt;AY14,"*","n.s."))</f>
        <v>n.s.</v>
      </c>
      <c r="BC14" s="113">
        <f>$AJ14</f>
        <v>0.22084490000000001</v>
      </c>
      <c r="BD14" s="104">
        <f>$AH14</f>
        <v>17</v>
      </c>
      <c r="BE14" s="103">
        <v>0</v>
      </c>
      <c r="BF14" s="113">
        <f>SQRT((24*$BD14*($BD14-1)*($BD14-1))/(($BD14-3)*($BD14-2)*($BD14+3)*($BD14+5)))</f>
        <v>1.0631978227919818</v>
      </c>
      <c r="BG14" s="113">
        <f>(BC14-BE14)/BF14</f>
        <v>0.20771759992891656</v>
      </c>
      <c r="BH14" s="103" t="s">
        <v>34</v>
      </c>
      <c r="BI14" s="104">
        <f>TDIST(ABS(BG14),10000,2)</f>
        <v>0.83545370448479606</v>
      </c>
      <c r="BJ14" s="106">
        <f>$G$4/BK14</f>
        <v>0.01</v>
      </c>
      <c r="BK14" s="107">
        <f>IF(ROW(BK14)&gt;10,BK13-1,$I$4)</f>
        <v>5</v>
      </c>
      <c r="BL14" s="108" t="str">
        <f>IF(ROW(BL14)&gt;$K$4,IF(AND(BI14&lt;BJ14,LEN(BL13)=1),"*","n.s."),IF(BI14&lt;BJ14,"*","n.s."))</f>
        <v>n.s.</v>
      </c>
    </row>
    <row r="15" spans="1:64" s="104" customFormat="1" ht="15">
      <c r="A15" s="117" t="s">
        <v>133</v>
      </c>
      <c r="B15" s="117" t="s">
        <v>128</v>
      </c>
      <c r="C15" s="117"/>
      <c r="D15" s="117">
        <v>5.2750000000000004</v>
      </c>
      <c r="E15" s="117">
        <v>1</v>
      </c>
      <c r="F15" s="117">
        <v>18.32</v>
      </c>
      <c r="G15" s="117">
        <v>33</v>
      </c>
      <c r="H15" s="117">
        <v>0.189</v>
      </c>
      <c r="I15" s="117">
        <v>33</v>
      </c>
      <c r="J15" s="117">
        <v>1.338E-2</v>
      </c>
      <c r="K15" s="117">
        <v>612</v>
      </c>
      <c r="L15"/>
      <c r="M15" s="105">
        <f>$D15/$H15</f>
        <v>27.910052910052912</v>
      </c>
      <c r="N15" s="104">
        <f>FDIST(M15,$E15,$I15)</f>
        <v>8.0041232458927038E-6</v>
      </c>
      <c r="O15" s="105">
        <f>$F15/$H15</f>
        <v>96.931216931216937</v>
      </c>
      <c r="P15" s="104">
        <f>FDIST(O15,$G15,$I15)</f>
        <v>7.1952470426478557E-25</v>
      </c>
      <c r="Q15" s="105">
        <f>$H15/$J15</f>
        <v>14.125560538116593</v>
      </c>
      <c r="R15" s="104">
        <f>FDIST(Q15,$I15,$K15)</f>
        <v>1.3305554373183191E-55</v>
      </c>
      <c r="S15" s="106">
        <f>$G$4/T15</f>
        <v>1.2500000000000001E-2</v>
      </c>
      <c r="T15" s="107">
        <f>IF(ROW(T15)&gt;10,T14-1,$I$4)</f>
        <v>4</v>
      </c>
      <c r="U15" s="108" t="str">
        <f>IF(ROW(U15)&gt;$K$4,IF(AND(R15&lt;S15,LEN(U14)=1),"*","n.s."),IF(R15&lt;S15,"*","n.s."))</f>
        <v>*</v>
      </c>
      <c r="V15" s="105">
        <f>100*$J15/$H15</f>
        <v>7.0793650793650782</v>
      </c>
      <c r="X15" s="109">
        <f>($K15/(($E15+1)*($G15+1)))+1</f>
        <v>10</v>
      </c>
      <c r="Y15" s="110">
        <f>($H15-$J15)/X15</f>
        <v>1.7562000000000001E-2</v>
      </c>
      <c r="Z15" s="111">
        <f>(($H15-$J15)*($H15-$J15))/((($H15*$H15)/$I15)+(($J15*$J15)/$K15))</f>
        <v>28.485308603921958</v>
      </c>
      <c r="AB15" s="102" t="str">
        <f>$A15</f>
        <v>malebreadth</v>
      </c>
      <c r="AC15" s="102" t="str">
        <f>$B15</f>
        <v>MXM3</v>
      </c>
      <c r="AD15">
        <v>12.42</v>
      </c>
      <c r="AE15">
        <v>0.16</v>
      </c>
      <c r="AF15">
        <v>-0.18</v>
      </c>
      <c r="AG15">
        <v>0.03</v>
      </c>
      <c r="AH15">
        <v>34</v>
      </c>
      <c r="AI15">
        <v>0.73316950000000003</v>
      </c>
      <c r="AJ15">
        <v>8.7467970000000006E-2</v>
      </c>
      <c r="AK15" s="42"/>
      <c r="AL15" s="112">
        <f>$AF15/$AG15</f>
        <v>-6</v>
      </c>
      <c r="AM15" s="106">
        <f>TDIST(ABS($AL15),($AH15-1),2)</f>
        <v>9.6469420355585022E-7</v>
      </c>
      <c r="AN15" s="106">
        <f>$G$4/AO15</f>
        <v>1.2500000000000001E-2</v>
      </c>
      <c r="AO15" s="107">
        <f>IF(ROW(AO15)&gt;10,AO14-1,$I$4)</f>
        <v>4</v>
      </c>
      <c r="AP15" s="108" t="str">
        <f>IF(ROW(AP15)&gt;$K$4,IF(AND(AM15&lt;AN15,LEN(AP14)=1),"*","n.s."),IF(AM15&lt;AN15,"*","n.s."))</f>
        <v>n.s.</v>
      </c>
      <c r="AR15" s="113">
        <f>$AI15</f>
        <v>0.73316950000000003</v>
      </c>
      <c r="AS15" s="104">
        <f>$AH15</f>
        <v>34</v>
      </c>
      <c r="AT15" s="103">
        <v>0</v>
      </c>
      <c r="AU15" s="113">
        <f>SQRT((6*$AS15*($AS15-1))/(($AS15-2)*($AS15+1)*($AS15+3)))</f>
        <v>0.40305302064584186</v>
      </c>
      <c r="AV15" s="113">
        <f>(AR15-AT15)/AU15</f>
        <v>1.8190398345735952</v>
      </c>
      <c r="AW15" s="103" t="s">
        <v>34</v>
      </c>
      <c r="AX15" s="106">
        <f>TDIST(ABS(AV15),10000,2)</f>
        <v>6.8935246342438833E-2</v>
      </c>
      <c r="AY15" s="106">
        <f>$G$4/AZ15</f>
        <v>1.2500000000000001E-2</v>
      </c>
      <c r="AZ15" s="107">
        <f>IF(ROW(AZ15)&gt;10,AZ14-1,$I$4)</f>
        <v>4</v>
      </c>
      <c r="BA15" s="108" t="str">
        <f>IF(ROW(BA15)&gt;$K$4,IF(AND(AX15&lt;AY15,LEN(BA14)=1),"*","n.s."),IF(AX15&lt;AY15,"*","n.s."))</f>
        <v>n.s.</v>
      </c>
      <c r="BC15" s="113">
        <f>$AJ15</f>
        <v>8.7467970000000006E-2</v>
      </c>
      <c r="BD15" s="104">
        <f>$AH15</f>
        <v>34</v>
      </c>
      <c r="BE15" s="103">
        <v>0</v>
      </c>
      <c r="BF15" s="113">
        <f>SQRT((24*$BD15*($BD15-1)*($BD15-1))/(($BD15-3)*($BD15-2)*($BD15+3)*($BD15+5)))</f>
        <v>0.78789803549171344</v>
      </c>
      <c r="BG15" s="113">
        <f>(BC15-BE15)/BF15</f>
        <v>0.11101432680361079</v>
      </c>
      <c r="BH15" s="103" t="s">
        <v>34</v>
      </c>
      <c r="BI15" s="104">
        <f>TDIST(ABS(BG15),10000,2)</f>
        <v>0.91160721371854403</v>
      </c>
      <c r="BJ15" s="106">
        <f>$G$4/BK15</f>
        <v>1.2500000000000001E-2</v>
      </c>
      <c r="BK15" s="107">
        <f>IF(ROW(BK15)&gt;10,BK14-1,$I$4)</f>
        <v>4</v>
      </c>
      <c r="BL15" s="108" t="str">
        <f>IF(ROW(BL15)&gt;$K$4,IF(AND(BI15&lt;BJ15,LEN(BL14)=1),"*","n.s."),IF(BI15&lt;BJ15,"*","n.s."))</f>
        <v>n.s.</v>
      </c>
    </row>
    <row r="16" spans="1:64" s="104" customFormat="1" ht="15">
      <c r="A16" s="117" t="s">
        <v>133</v>
      </c>
      <c r="B16" s="117" t="s">
        <v>125</v>
      </c>
      <c r="C16" s="117"/>
      <c r="D16" s="117">
        <v>3.0988000000000002</v>
      </c>
      <c r="E16" s="117">
        <v>1</v>
      </c>
      <c r="F16" s="117">
        <v>4.8440000000000003</v>
      </c>
      <c r="G16" s="117">
        <v>14</v>
      </c>
      <c r="H16" s="117">
        <v>9.3100000000000002E-2</v>
      </c>
      <c r="I16" s="117">
        <v>14</v>
      </c>
      <c r="J16" s="117">
        <v>1.3270000000000001E-2</v>
      </c>
      <c r="K16" s="117">
        <v>270</v>
      </c>
      <c r="L16"/>
      <c r="M16" s="105">
        <f>$D16/$H16</f>
        <v>33.284640171858221</v>
      </c>
      <c r="N16" s="104">
        <f>FDIST(M16,$E16,$I16)</f>
        <v>4.8573156726446007E-5</v>
      </c>
      <c r="O16" s="105">
        <f>$F16/$H16</f>
        <v>52.030075187969928</v>
      </c>
      <c r="P16" s="104">
        <f>FDIST(O16,$G16,$I16)</f>
        <v>1.3168514815834121E-9</v>
      </c>
      <c r="Q16" s="105">
        <f>$H16/$J16</f>
        <v>7.0158251695553879</v>
      </c>
      <c r="R16" s="104">
        <f>FDIST(Q16,$I16,$K16)</f>
        <v>2.5817387088014068E-12</v>
      </c>
      <c r="S16" s="106">
        <f>$G$4/T16</f>
        <v>1.6666666666666666E-2</v>
      </c>
      <c r="T16" s="107">
        <f>IF(ROW(T16)&gt;10,T15-1,$I$4)</f>
        <v>3</v>
      </c>
      <c r="U16" s="108" t="str">
        <f>IF(ROW(U16)&gt;$K$4,IF(AND(R16&lt;S16,LEN(U15)=1),"*","n.s."),IF(R16&lt;S16,"*","n.s."))</f>
        <v>*</v>
      </c>
      <c r="V16" s="105">
        <f>100*$J16/$H16</f>
        <v>14.253490870032223</v>
      </c>
      <c r="X16" s="109">
        <f>($K16/(($E16+1)*($G16+1)))+1</f>
        <v>10</v>
      </c>
      <c r="Y16" s="110">
        <f>($H16-$J16)/X16</f>
        <v>7.9830000000000005E-3</v>
      </c>
      <c r="Z16" s="111">
        <f>(($H16-$J16)*($H16-$J16))/((($H16*$H16)/$I16)+(($J16*$J16)/$K16))</f>
        <v>10.282617314843611</v>
      </c>
      <c r="AB16" s="102" t="str">
        <f>$A16</f>
        <v>malebreadth</v>
      </c>
      <c r="AC16" s="102" t="str">
        <f>$B16</f>
        <v>MNP4</v>
      </c>
      <c r="AD16">
        <v>7.33</v>
      </c>
      <c r="AE16">
        <v>0.13</v>
      </c>
      <c r="AF16">
        <v>-0.2</v>
      </c>
      <c r="AG16">
        <v>0.04</v>
      </c>
      <c r="AH16">
        <v>15</v>
      </c>
      <c r="AI16">
        <v>0.74016859999999995</v>
      </c>
      <c r="AJ16">
        <v>6.8797789999999998E-2</v>
      </c>
      <c r="AK16" s="42"/>
      <c r="AL16" s="112">
        <f>$AF16/$AG16</f>
        <v>-5</v>
      </c>
      <c r="AM16" s="106">
        <f>TDIST(ABS($AL16),($AH16-1),2)</f>
        <v>1.9451530625726616E-4</v>
      </c>
      <c r="AN16" s="106">
        <f>$G$4/AO16</f>
        <v>1.6666666666666666E-2</v>
      </c>
      <c r="AO16" s="107">
        <f>IF(ROW(AO16)&gt;10,AO15-1,$I$4)</f>
        <v>3</v>
      </c>
      <c r="AP16" s="108" t="str">
        <f>IF(ROW(AP16)&gt;$K$4,IF(AND(AM16&lt;AN16,LEN(AP15)=1),"*","n.s."),IF(AM16&lt;AN16,"*","n.s."))</f>
        <v>n.s.</v>
      </c>
      <c r="AR16" s="113">
        <f>$AI16</f>
        <v>0.74016859999999995</v>
      </c>
      <c r="AS16" s="104">
        <f>$AH16</f>
        <v>15</v>
      </c>
      <c r="AT16" s="103">
        <v>0</v>
      </c>
      <c r="AU16" s="113">
        <f>SQRT((6*$AS16*($AS16-1))/(($AS16-2)*($AS16+1)*($AS16+3)))</f>
        <v>0.58011935111532142</v>
      </c>
      <c r="AV16" s="113">
        <f>(AR16-AT16)/AU16</f>
        <v>1.2758902087595807</v>
      </c>
      <c r="AW16" s="103" t="s">
        <v>34</v>
      </c>
      <c r="AX16" s="106">
        <f>TDIST(ABS(AV16),10000,2)</f>
        <v>0.20202396717568732</v>
      </c>
      <c r="AY16" s="106">
        <f>$G$4/AZ16</f>
        <v>1.6666666666666666E-2</v>
      </c>
      <c r="AZ16" s="107">
        <f>IF(ROW(AZ16)&gt;10,AZ15-1,$I$4)</f>
        <v>3</v>
      </c>
      <c r="BA16" s="108" t="str">
        <f>IF(ROW(BA16)&gt;$K$4,IF(AND(AX16&lt;AY16,LEN(BA15)=1),"*","n.s."),IF(AX16&lt;AY16,"*","n.s."))</f>
        <v>n.s.</v>
      </c>
      <c r="BC16" s="113">
        <f>$AJ16</f>
        <v>6.8797789999999998E-2</v>
      </c>
      <c r="BD16" s="104">
        <f>$AH16</f>
        <v>15</v>
      </c>
      <c r="BE16" s="103">
        <v>0</v>
      </c>
      <c r="BF16" s="113">
        <f>SQRT((24*$BD16*($BD16-1)*($BD16-1))/(($BD16-3)*($BD16-2)*($BD16+3)*($BD16+5)))</f>
        <v>1.1208970766356099</v>
      </c>
      <c r="BG16" s="113">
        <f>(BC16-BE16)/BF16</f>
        <v>6.1377437263461905E-2</v>
      </c>
      <c r="BH16" s="103" t="s">
        <v>34</v>
      </c>
      <c r="BI16" s="104">
        <f>TDIST(ABS(BG16),10000,2)</f>
        <v>0.9510598475176002</v>
      </c>
      <c r="BJ16" s="106">
        <f>$G$4/BK16</f>
        <v>1.6666666666666666E-2</v>
      </c>
      <c r="BK16" s="107">
        <f>IF(ROW(BK16)&gt;10,BK15-1,$I$4)</f>
        <v>3</v>
      </c>
      <c r="BL16" s="108" t="str">
        <f>IF(ROW(BL16)&gt;$K$4,IF(AND(BI16&lt;BJ16,LEN(BL15)=1),"*","n.s."),IF(BI16&lt;BJ16,"*","n.s."))</f>
        <v>n.s.</v>
      </c>
    </row>
    <row r="17" spans="1:64" s="104" customFormat="1" ht="15">
      <c r="A17" s="117" t="s">
        <v>133</v>
      </c>
      <c r="B17" s="117" t="s">
        <v>123</v>
      </c>
      <c r="C17" s="117"/>
      <c r="D17" s="117">
        <v>8.5449999999999999</v>
      </c>
      <c r="E17" s="117">
        <v>1</v>
      </c>
      <c r="F17" s="117">
        <v>10.54</v>
      </c>
      <c r="G17" s="117">
        <v>15</v>
      </c>
      <c r="H17" s="117">
        <v>0.33200000000000002</v>
      </c>
      <c r="I17" s="117">
        <v>15</v>
      </c>
      <c r="J17" s="117">
        <v>2.6589999999999999E-2</v>
      </c>
      <c r="K17" s="117">
        <v>288</v>
      </c>
      <c r="L17"/>
      <c r="M17" s="105">
        <f>$D17/$H17</f>
        <v>25.737951807228914</v>
      </c>
      <c r="N17" s="104">
        <f>FDIST(M17,$E17,$I17)</f>
        <v>1.3745606304684308E-4</v>
      </c>
      <c r="O17" s="105">
        <f>$F17/$H17</f>
        <v>31.746987951807224</v>
      </c>
      <c r="P17" s="104">
        <f>FDIST(O17,$G17,$I17)</f>
        <v>1.2030251344784372E-8</v>
      </c>
      <c r="Q17" s="105">
        <f>$H17/$J17</f>
        <v>12.48589695374201</v>
      </c>
      <c r="R17" s="104">
        <f>FDIST(Q17,$I17,$K17)</f>
        <v>7.9798325106847215E-24</v>
      </c>
      <c r="S17" s="106">
        <f>$G$4/T17</f>
        <v>2.5000000000000001E-2</v>
      </c>
      <c r="T17" s="107">
        <f>IF(ROW(T17)&gt;10,T16-1,$I$4)</f>
        <v>2</v>
      </c>
      <c r="U17" s="108" t="str">
        <f>IF(ROW(U17)&gt;$K$4,IF(AND(R17&lt;S17,LEN(U16)=1),"*","n.s."),IF(R17&lt;S17,"*","n.s."))</f>
        <v>*</v>
      </c>
      <c r="V17" s="105">
        <f>100*$J17/$H17</f>
        <v>8.009036144578312</v>
      </c>
      <c r="X17" s="109">
        <f>($K17/(($E17+1)*($G17+1)))+1</f>
        <v>10</v>
      </c>
      <c r="Y17" s="110">
        <f>($H17-$J17)/X17</f>
        <v>3.0541000000000002E-2</v>
      </c>
      <c r="Z17" s="111">
        <f>(($H17-$J17)*($H17-$J17))/((($H17*$H17)/$I17)+(($J17*$J17)/$K17))</f>
        <v>12.689266830396939</v>
      </c>
      <c r="AB17" s="102" t="str">
        <f>$A17</f>
        <v>malebreadth</v>
      </c>
      <c r="AC17" s="102" t="str">
        <f>$B17</f>
        <v>MNM2</v>
      </c>
      <c r="AD17">
        <v>10.96</v>
      </c>
      <c r="AE17">
        <v>0.18</v>
      </c>
      <c r="AF17">
        <v>-0.33</v>
      </c>
      <c r="AG17">
        <v>0.06</v>
      </c>
      <c r="AH17">
        <v>16</v>
      </c>
      <c r="AI17">
        <v>0.5078954</v>
      </c>
      <c r="AJ17">
        <v>3.323388E-2</v>
      </c>
      <c r="AK17" s="42"/>
      <c r="AL17" s="112">
        <f>$AF17/$AG17</f>
        <v>-5.5000000000000009</v>
      </c>
      <c r="AM17" s="106">
        <f>TDIST(ABS($AL17),($AH17-1),2)</f>
        <v>6.105377183135809E-5</v>
      </c>
      <c r="AN17" s="106">
        <f>$G$4/AO17</f>
        <v>2.5000000000000001E-2</v>
      </c>
      <c r="AO17" s="107">
        <f>IF(ROW(AO17)&gt;10,AO16-1,$I$4)</f>
        <v>2</v>
      </c>
      <c r="AP17" s="108" t="str">
        <f>IF(ROW(AP17)&gt;$K$4,IF(AND(AM17&lt;AN17,LEN(AP16)=1),"*","n.s."),IF(AM17&lt;AN17,"*","n.s."))</f>
        <v>n.s.</v>
      </c>
      <c r="AR17" s="113">
        <f>$AI17</f>
        <v>0.5078954</v>
      </c>
      <c r="AS17" s="104">
        <f>$AH17</f>
        <v>16</v>
      </c>
      <c r="AT17" s="103">
        <v>0</v>
      </c>
      <c r="AU17" s="113">
        <f>SQRT((6*$AS17*($AS17-1))/(($AS17-2)*($AS17+1)*($AS17+3)))</f>
        <v>0.56430768800396502</v>
      </c>
      <c r="AV17" s="113">
        <f>(AR17-AT17)/AU17</f>
        <v>0.90003274950319545</v>
      </c>
      <c r="AW17" s="103" t="s">
        <v>34</v>
      </c>
      <c r="AX17" s="106">
        <f>TDIST(ABS(AV17),10000,2)</f>
        <v>0.36812449562879457</v>
      </c>
      <c r="AY17" s="106">
        <f>$G$4/AZ17</f>
        <v>2.5000000000000001E-2</v>
      </c>
      <c r="AZ17" s="107">
        <f>IF(ROW(AZ17)&gt;10,AZ16-1,$I$4)</f>
        <v>2</v>
      </c>
      <c r="BA17" s="108" t="str">
        <f>IF(ROW(BA17)&gt;$K$4,IF(AND(AX17&lt;AY17,LEN(BA16)=1),"*","n.s."),IF(AX17&lt;AY17,"*","n.s."))</f>
        <v>n.s.</v>
      </c>
      <c r="BC17" s="113">
        <f>$AJ17</f>
        <v>3.323388E-2</v>
      </c>
      <c r="BD17" s="104">
        <f>$AH17</f>
        <v>16</v>
      </c>
      <c r="BE17" s="103">
        <v>0</v>
      </c>
      <c r="BF17" s="113">
        <f>SQRT((24*$BD17*($BD17-1)*($BD17-1))/(($BD17-3)*($BD17-2)*($BD17+3)*($BD17+5)))</f>
        <v>1.0907738793870476</v>
      </c>
      <c r="BG17" s="113">
        <f>(BC17-BE17)/BF17</f>
        <v>3.0468166343216373E-2</v>
      </c>
      <c r="BH17" s="103" t="s">
        <v>34</v>
      </c>
      <c r="BI17" s="104">
        <f>TDIST(ABS(BG17),10000,2)</f>
        <v>0.97569428919295809</v>
      </c>
      <c r="BJ17" s="106">
        <f>$G$4/BK17</f>
        <v>2.5000000000000001E-2</v>
      </c>
      <c r="BK17" s="107">
        <f>IF(ROW(BK17)&gt;10,BK16-1,$I$4)</f>
        <v>2</v>
      </c>
      <c r="BL17" s="108" t="str">
        <f>IF(ROW(BL17)&gt;$K$4,IF(AND(BI17&lt;BJ17,LEN(BL16)=1),"*","n.s."),IF(BI17&lt;BJ17,"*","n.s."))</f>
        <v>n.s.</v>
      </c>
    </row>
    <row r="18" spans="1:64" s="104" customFormat="1" ht="15">
      <c r="A18" s="117" t="s">
        <v>133</v>
      </c>
      <c r="B18" s="117" t="s">
        <v>124</v>
      </c>
      <c r="C18" s="117"/>
      <c r="D18" s="117">
        <v>10.146000000000001</v>
      </c>
      <c r="E18" s="117">
        <v>1</v>
      </c>
      <c r="F18" s="117">
        <v>17.82</v>
      </c>
      <c r="G18" s="117">
        <v>13</v>
      </c>
      <c r="H18" s="117">
        <v>0.107</v>
      </c>
      <c r="I18" s="117">
        <v>13</v>
      </c>
      <c r="J18" s="117">
        <v>2.29E-2</v>
      </c>
      <c r="K18" s="117">
        <v>252</v>
      </c>
      <c r="L18"/>
      <c r="M18" s="105">
        <f>$D18/$H18</f>
        <v>94.822429906542069</v>
      </c>
      <c r="N18" s="104">
        <f>FDIST(M18,$E18,$I18)</f>
        <v>2.4471028224728321E-7</v>
      </c>
      <c r="O18" s="105">
        <f>$F18/$H18</f>
        <v>166.54205607476635</v>
      </c>
      <c r="P18" s="104">
        <f>FDIST(O18,$G18,$I18)</f>
        <v>3.0185221714481454E-12</v>
      </c>
      <c r="Q18" s="105">
        <f>$H18/$J18</f>
        <v>4.6724890829694319</v>
      </c>
      <c r="R18" s="104">
        <f>FDIST(Q18,$I18,$K18)</f>
        <v>3.1955474020160137E-7</v>
      </c>
      <c r="S18" s="106">
        <f>$G$4/T18</f>
        <v>0.05</v>
      </c>
      <c r="T18" s="107">
        <f>IF(ROW(T18)&gt;10,T17-1,$I$4)</f>
        <v>1</v>
      </c>
      <c r="U18" s="108" t="str">
        <f>IF(ROW(U18)&gt;$K$4,IF(AND(R18&lt;S18,LEN(U17)=1),"*","n.s."),IF(R18&lt;S18,"*","n.s."))</f>
        <v>*</v>
      </c>
      <c r="V18" s="105">
        <f>100*$J18/$H18</f>
        <v>21.401869158878505</v>
      </c>
      <c r="X18" s="109">
        <f>($K18/(($E18+1)*($G18+1)))+1</f>
        <v>10</v>
      </c>
      <c r="Y18" s="110">
        <f>($H18-$J18)/X18</f>
        <v>8.4099999999999991E-3</v>
      </c>
      <c r="Z18" s="111">
        <f>(($H18-$J18)*($H18-$J18))/((($H18*$H18)/$I18)+(($J18*$J18)/$K18))</f>
        <v>8.0120343489733337</v>
      </c>
      <c r="AB18" s="102" t="str">
        <f>$A18</f>
        <v>malebreadth</v>
      </c>
      <c r="AC18" s="102" t="str">
        <f>$B18</f>
        <v>MNM3</v>
      </c>
      <c r="AD18">
        <v>11.45</v>
      </c>
      <c r="AE18">
        <v>0.25</v>
      </c>
      <c r="AF18">
        <v>-0.38</v>
      </c>
      <c r="AG18">
        <v>0.04</v>
      </c>
      <c r="AH18">
        <v>14</v>
      </c>
      <c r="AI18">
        <v>1.2088410000000001</v>
      </c>
      <c r="AJ18">
        <v>1.8440539999999998E-2</v>
      </c>
      <c r="AK18" s="42"/>
      <c r="AL18" s="112">
        <f>$AF18/$AG18</f>
        <v>-9.5</v>
      </c>
      <c r="AM18" s="106">
        <f>TDIST(ABS($AL18),($AH18-1),2)</f>
        <v>3.2516594969231546E-7</v>
      </c>
      <c r="AN18" s="106">
        <f>$G$4/AO18</f>
        <v>0.05</v>
      </c>
      <c r="AO18" s="107">
        <f>IF(ROW(AO18)&gt;10,AO17-1,$I$4)</f>
        <v>1</v>
      </c>
      <c r="AP18" s="108" t="str">
        <f>IF(ROW(AP18)&gt;$K$4,IF(AND(AM18&lt;AN18,LEN(AP17)=1),"*","n.s."),IF(AM18&lt;AN18,"*","n.s."))</f>
        <v>n.s.</v>
      </c>
      <c r="AR18" s="113">
        <f>$AI18</f>
        <v>1.2088410000000001</v>
      </c>
      <c r="AS18" s="104">
        <f>$AH18</f>
        <v>14</v>
      </c>
      <c r="AT18" s="103">
        <v>0</v>
      </c>
      <c r="AU18" s="113">
        <f>SQRT((6*$AS18*($AS18-1))/(($AS18-2)*($AS18+1)*($AS18+3)))</f>
        <v>0.59737990014566045</v>
      </c>
      <c r="AV18" s="113">
        <f>(AR18-AT18)/AU18</f>
        <v>2.0235715994214831</v>
      </c>
      <c r="AW18" s="103" t="s">
        <v>34</v>
      </c>
      <c r="AX18" s="106">
        <f>TDIST(ABS(AV18),10000,2)</f>
        <v>4.3040793829876585E-2</v>
      </c>
      <c r="AY18" s="106">
        <f>$G$4/AZ18</f>
        <v>0.05</v>
      </c>
      <c r="AZ18" s="107">
        <f>IF(ROW(AZ18)&gt;10,AZ17-1,$I$4)</f>
        <v>1</v>
      </c>
      <c r="BA18" s="108" t="str">
        <f>IF(ROW(BA18)&gt;$K$4,IF(AND(AX18&lt;AY18,LEN(BA17)=1),"*","n.s."),IF(AX18&lt;AY18,"*","n.s."))</f>
        <v>n.s.</v>
      </c>
      <c r="BC18" s="113">
        <f>$AJ18</f>
        <v>1.8440539999999998E-2</v>
      </c>
      <c r="BD18" s="104">
        <f>$AH18</f>
        <v>14</v>
      </c>
      <c r="BE18" s="103">
        <v>0</v>
      </c>
      <c r="BF18" s="113">
        <f>SQRT((24*$BD18*($BD18-1)*($BD18-1))/(($BD18-3)*($BD18-2)*($BD18+3)*($BD18+5)))</f>
        <v>1.1540503691056441</v>
      </c>
      <c r="BG18" s="113">
        <f>(BC18-BE18)/BF18</f>
        <v>1.5978973269850334E-2</v>
      </c>
      <c r="BH18" s="103" t="s">
        <v>34</v>
      </c>
      <c r="BI18" s="104">
        <f>TDIST(ABS(BG18),10000,2)</f>
        <v>0.98725148522539607</v>
      </c>
      <c r="BJ18" s="106">
        <f>$G$4/BK18</f>
        <v>0.05</v>
      </c>
      <c r="BK18" s="107">
        <f>IF(ROW(BK18)&gt;10,BK17-1,$I$4)</f>
        <v>1</v>
      </c>
      <c r="BL18" s="108" t="str">
        <f>IF(ROW(BL18)&gt;$K$4,IF(AND(BI18&lt;BJ18,LEN(BL17)=1),"*","n.s."),IF(BI18&lt;BJ18,"*","n.s."))</f>
        <v>n.s.</v>
      </c>
    </row>
    <row r="19" spans="1:64" ht="13.5" thickBot="1"/>
    <row r="20" spans="1:64">
      <c r="A20" s="74" t="s">
        <v>35</v>
      </c>
      <c r="B20" s="75"/>
      <c r="C20" s="75"/>
      <c r="D20" s="75"/>
      <c r="E20" s="75"/>
      <c r="F20" s="75"/>
      <c r="G20" s="75"/>
      <c r="H20" s="75"/>
      <c r="I20" s="76"/>
    </row>
    <row r="21" spans="1:64">
      <c r="A21" s="77"/>
      <c r="B21" s="78"/>
      <c r="C21" s="78"/>
      <c r="D21" s="78"/>
      <c r="E21" s="78"/>
      <c r="F21" s="78"/>
      <c r="G21" s="78"/>
      <c r="H21" s="78"/>
      <c r="I21" s="79"/>
    </row>
    <row r="22" spans="1:64">
      <c r="A22" s="77" t="s">
        <v>36</v>
      </c>
      <c r="B22" s="78"/>
      <c r="C22" s="78"/>
      <c r="D22" s="78"/>
      <c r="E22" s="78"/>
      <c r="F22" s="78"/>
      <c r="G22" s="78"/>
      <c r="H22" s="78"/>
      <c r="I22" s="79"/>
    </row>
    <row r="23" spans="1:64">
      <c r="A23" s="77"/>
      <c r="B23" s="78"/>
      <c r="C23" s="78"/>
      <c r="D23" s="78"/>
      <c r="E23" s="78"/>
      <c r="F23" s="78"/>
      <c r="G23" s="78"/>
      <c r="H23" s="78"/>
      <c r="I23" s="79"/>
    </row>
    <row r="24" spans="1:64">
      <c r="A24" s="77" t="s">
        <v>37</v>
      </c>
      <c r="B24" s="78"/>
      <c r="C24" s="78"/>
      <c r="D24" s="78"/>
      <c r="E24" s="78"/>
      <c r="F24" s="78"/>
      <c r="G24" s="78"/>
      <c r="H24" s="78"/>
      <c r="I24" s="79"/>
    </row>
    <row r="25" spans="1:64">
      <c r="A25" s="77"/>
      <c r="B25" s="78"/>
      <c r="C25" s="78"/>
      <c r="D25" s="78"/>
      <c r="E25" s="78"/>
      <c r="F25" s="78"/>
      <c r="G25" s="78"/>
      <c r="H25" s="78"/>
      <c r="I25" s="79"/>
    </row>
    <row r="26" spans="1:64">
      <c r="A26" s="77" t="s">
        <v>38</v>
      </c>
      <c r="B26" s="78"/>
      <c r="C26" s="78"/>
      <c r="D26" s="78"/>
      <c r="E26" s="78"/>
      <c r="F26" s="78"/>
      <c r="G26" s="78"/>
      <c r="H26" s="78"/>
      <c r="I26" s="79"/>
    </row>
    <row r="27" spans="1:64">
      <c r="A27" s="77"/>
      <c r="B27" s="78"/>
      <c r="C27" s="78"/>
      <c r="D27" s="78"/>
      <c r="E27" s="78"/>
      <c r="F27" s="78"/>
      <c r="G27" s="78"/>
      <c r="H27" s="78"/>
      <c r="I27" s="79"/>
    </row>
    <row r="28" spans="1:64">
      <c r="A28" s="80" t="s">
        <v>39</v>
      </c>
      <c r="B28" s="78"/>
      <c r="C28" s="78"/>
      <c r="D28" s="78"/>
      <c r="E28" s="78"/>
      <c r="F28" s="78"/>
      <c r="G28" s="78"/>
      <c r="H28" s="78"/>
      <c r="I28" s="79"/>
    </row>
    <row r="29" spans="1:64">
      <c r="A29" s="77" t="s">
        <v>40</v>
      </c>
      <c r="B29" s="78"/>
      <c r="C29" s="78"/>
      <c r="D29" s="78"/>
      <c r="E29" s="78"/>
      <c r="F29" s="78"/>
      <c r="G29" s="78"/>
      <c r="H29" s="78"/>
      <c r="I29" s="79"/>
    </row>
    <row r="30" spans="1:64">
      <c r="A30" s="80"/>
      <c r="B30" s="78"/>
      <c r="C30" s="78"/>
      <c r="D30" s="78"/>
      <c r="E30" s="78"/>
      <c r="F30" s="78"/>
      <c r="G30" s="78"/>
      <c r="H30" s="78"/>
      <c r="I30" s="79"/>
    </row>
    <row r="31" spans="1:64">
      <c r="A31" s="77" t="s">
        <v>58</v>
      </c>
      <c r="B31" s="78"/>
      <c r="C31" s="78"/>
      <c r="D31" s="78"/>
      <c r="E31" s="78"/>
      <c r="F31" s="78"/>
      <c r="G31" s="78"/>
      <c r="H31" s="78"/>
      <c r="I31" s="79"/>
    </row>
    <row r="32" spans="1:64">
      <c r="A32" s="80" t="s">
        <v>44</v>
      </c>
      <c r="B32" s="78"/>
      <c r="C32" s="78"/>
      <c r="D32" s="78"/>
      <c r="E32" s="78"/>
      <c r="F32" s="78"/>
      <c r="G32" s="78"/>
      <c r="H32" s="78"/>
      <c r="I32" s="79"/>
    </row>
    <row r="33" spans="1:9">
      <c r="A33" s="77" t="s">
        <v>59</v>
      </c>
      <c r="B33" s="78"/>
      <c r="C33" s="78"/>
      <c r="D33" s="78"/>
      <c r="E33" s="78"/>
      <c r="F33" s="78"/>
      <c r="G33" s="78"/>
      <c r="H33" s="78"/>
      <c r="I33" s="79"/>
    </row>
    <row r="34" spans="1:9">
      <c r="A34" s="80" t="s">
        <v>60</v>
      </c>
      <c r="B34" s="78"/>
      <c r="C34" s="78"/>
      <c r="D34" s="78"/>
      <c r="E34" s="78"/>
      <c r="F34" s="78"/>
      <c r="G34" s="78"/>
      <c r="H34" s="78"/>
      <c r="I34" s="79"/>
    </row>
    <row r="35" spans="1:9">
      <c r="A35" s="80" t="s">
        <v>61</v>
      </c>
      <c r="B35" s="78"/>
      <c r="C35" s="78"/>
      <c r="D35" s="78"/>
      <c r="E35" s="78"/>
      <c r="F35" s="78"/>
      <c r="G35" s="78"/>
      <c r="H35" s="78"/>
      <c r="I35" s="79"/>
    </row>
    <row r="36" spans="1:9">
      <c r="A36" s="80" t="s">
        <v>62</v>
      </c>
      <c r="B36" s="78"/>
      <c r="C36" s="78"/>
      <c r="D36" s="78"/>
      <c r="E36" s="78"/>
      <c r="F36" s="78"/>
      <c r="G36" s="78"/>
      <c r="H36" s="78"/>
      <c r="I36" s="79"/>
    </row>
    <row r="37" spans="1:9">
      <c r="A37" s="77"/>
      <c r="B37" s="78"/>
      <c r="C37" s="78"/>
      <c r="D37" s="78"/>
      <c r="E37" s="78"/>
      <c r="F37" s="78"/>
      <c r="G37" s="78"/>
      <c r="H37" s="78"/>
      <c r="I37" s="79"/>
    </row>
    <row r="38" spans="1:9">
      <c r="A38" s="77" t="s">
        <v>63</v>
      </c>
      <c r="B38" s="78"/>
      <c r="C38" s="78"/>
      <c r="D38" s="78"/>
      <c r="E38" s="78"/>
      <c r="F38" s="78"/>
      <c r="G38" s="78"/>
      <c r="H38" s="78"/>
      <c r="I38" s="79"/>
    </row>
    <row r="39" spans="1:9">
      <c r="A39" s="77" t="s">
        <v>64</v>
      </c>
      <c r="B39" s="78"/>
      <c r="C39" s="78"/>
      <c r="D39" s="78"/>
      <c r="E39" s="78"/>
      <c r="F39" s="78"/>
      <c r="G39" s="78"/>
      <c r="H39" s="78"/>
      <c r="I39" s="79"/>
    </row>
    <row r="40" spans="1:9">
      <c r="A40" s="80"/>
      <c r="B40" s="78"/>
      <c r="C40" s="78"/>
      <c r="D40" s="78"/>
      <c r="E40" s="78"/>
      <c r="F40" s="78"/>
      <c r="G40" s="78"/>
      <c r="H40" s="78"/>
      <c r="I40" s="79"/>
    </row>
    <row r="41" spans="1:9">
      <c r="A41" s="80" t="s">
        <v>65</v>
      </c>
      <c r="B41" s="78"/>
      <c r="C41" s="78"/>
      <c r="D41" s="78"/>
      <c r="E41" s="78"/>
      <c r="F41" s="78"/>
      <c r="G41" s="78"/>
      <c r="H41" s="78"/>
      <c r="I41" s="79"/>
    </row>
    <row r="42" spans="1:9">
      <c r="A42" s="77" t="s">
        <v>66</v>
      </c>
      <c r="B42" s="78"/>
      <c r="C42" s="78"/>
      <c r="D42" s="78"/>
      <c r="E42" s="78"/>
      <c r="F42" s="78"/>
      <c r="G42" s="78"/>
      <c r="H42" s="78"/>
      <c r="I42" s="79"/>
    </row>
    <row r="43" spans="1:9">
      <c r="A43" s="77"/>
      <c r="B43" s="78"/>
      <c r="C43" s="78"/>
      <c r="D43" s="78"/>
      <c r="E43" s="78"/>
      <c r="F43" s="78"/>
      <c r="G43" s="78"/>
      <c r="H43" s="78"/>
      <c r="I43" s="79"/>
    </row>
    <row r="44" spans="1:9">
      <c r="A44" s="77" t="s">
        <v>67</v>
      </c>
      <c r="B44" s="78"/>
      <c r="C44" s="78"/>
      <c r="D44" s="78"/>
      <c r="E44" s="78"/>
      <c r="F44" s="78"/>
      <c r="G44" s="78"/>
      <c r="H44" s="78"/>
      <c r="I44" s="79"/>
    </row>
    <row r="45" spans="1:9">
      <c r="A45" s="80" t="s">
        <v>44</v>
      </c>
      <c r="B45" s="78"/>
      <c r="C45" s="78"/>
      <c r="D45" s="78"/>
      <c r="E45" s="78"/>
      <c r="F45" s="78"/>
      <c r="G45" s="78"/>
      <c r="H45" s="78"/>
      <c r="I45" s="79"/>
    </row>
    <row r="46" spans="1:9">
      <c r="A46" s="77" t="s">
        <v>45</v>
      </c>
      <c r="B46" s="78"/>
      <c r="C46" s="78"/>
      <c r="D46" s="78"/>
      <c r="E46" s="78"/>
      <c r="F46" s="78"/>
      <c r="G46" s="78"/>
      <c r="H46" s="78"/>
      <c r="I46" s="79"/>
    </row>
    <row r="47" spans="1:9">
      <c r="A47" s="77" t="s">
        <v>46</v>
      </c>
      <c r="B47" s="78"/>
      <c r="C47" s="78"/>
      <c r="D47" s="78"/>
      <c r="E47" s="78"/>
      <c r="F47" s="78"/>
      <c r="G47" s="78"/>
      <c r="H47" s="78"/>
      <c r="I47" s="79"/>
    </row>
    <row r="48" spans="1:9">
      <c r="A48" s="77" t="s">
        <v>47</v>
      </c>
      <c r="B48" s="78"/>
      <c r="C48" s="78"/>
      <c r="D48" s="78"/>
      <c r="E48" s="78"/>
      <c r="F48" s="78"/>
      <c r="G48" s="78"/>
      <c r="H48" s="78"/>
      <c r="I48" s="79"/>
    </row>
    <row r="49" spans="1:9">
      <c r="A49" s="77"/>
      <c r="B49" s="78"/>
      <c r="C49" s="78"/>
      <c r="D49" s="78"/>
      <c r="E49" s="78"/>
      <c r="F49" s="78"/>
      <c r="G49" s="78"/>
      <c r="H49" s="78"/>
      <c r="I49" s="79"/>
    </row>
    <row r="50" spans="1:9">
      <c r="A50" s="77" t="s">
        <v>68</v>
      </c>
      <c r="B50" s="78"/>
      <c r="C50" s="78"/>
      <c r="D50" s="78"/>
      <c r="E50" s="78"/>
      <c r="F50" s="78"/>
      <c r="G50" s="78"/>
      <c r="H50" s="78"/>
      <c r="I50" s="79"/>
    </row>
    <row r="51" spans="1:9">
      <c r="A51" s="77" t="s">
        <v>77</v>
      </c>
      <c r="B51" s="78"/>
      <c r="C51" s="78"/>
      <c r="D51" s="78"/>
      <c r="E51" s="78"/>
      <c r="F51" s="78"/>
      <c r="G51" s="78"/>
      <c r="H51" s="78"/>
      <c r="I51" s="79"/>
    </row>
    <row r="52" spans="1:9">
      <c r="A52" s="77" t="s">
        <v>78</v>
      </c>
      <c r="B52" s="78"/>
      <c r="C52" s="78"/>
      <c r="D52" s="78"/>
      <c r="E52" s="78"/>
      <c r="F52" s="78"/>
      <c r="G52" s="78"/>
      <c r="H52" s="78"/>
      <c r="I52" s="79"/>
    </row>
    <row r="53" spans="1:9">
      <c r="A53" s="77" t="s">
        <v>79</v>
      </c>
      <c r="B53" s="78"/>
      <c r="C53" s="78"/>
      <c r="D53" s="78"/>
      <c r="E53" s="78"/>
      <c r="F53" s="78"/>
      <c r="G53" s="78"/>
      <c r="H53" s="78"/>
      <c r="I53" s="79"/>
    </row>
    <row r="54" spans="1:9">
      <c r="A54" s="77" t="s">
        <v>80</v>
      </c>
      <c r="B54" s="78"/>
      <c r="C54" s="78"/>
      <c r="D54" s="78"/>
      <c r="E54" s="78"/>
      <c r="F54" s="78"/>
      <c r="G54" s="78"/>
      <c r="H54" s="78"/>
      <c r="I54" s="79"/>
    </row>
    <row r="55" spans="1:9">
      <c r="A55" s="77" t="s">
        <v>81</v>
      </c>
      <c r="B55" s="78"/>
      <c r="C55" s="78"/>
      <c r="D55" s="78"/>
      <c r="E55" s="78"/>
      <c r="F55" s="78"/>
      <c r="G55" s="78"/>
      <c r="H55" s="78"/>
      <c r="I55" s="79"/>
    </row>
    <row r="56" spans="1:9">
      <c r="A56" s="77" t="s">
        <v>82</v>
      </c>
      <c r="B56" s="78"/>
      <c r="C56" s="78"/>
      <c r="D56" s="78"/>
      <c r="E56" s="78"/>
      <c r="F56" s="78"/>
      <c r="G56" s="78"/>
      <c r="H56" s="78"/>
      <c r="I56" s="79"/>
    </row>
    <row r="57" spans="1:9">
      <c r="A57" s="77" t="s">
        <v>83</v>
      </c>
      <c r="B57" s="78"/>
      <c r="C57" s="78"/>
      <c r="D57" s="78"/>
      <c r="E57" s="78"/>
      <c r="F57" s="78"/>
      <c r="G57" s="78"/>
      <c r="H57" s="78"/>
      <c r="I57" s="79"/>
    </row>
    <row r="58" spans="1:9">
      <c r="A58" s="77" t="s">
        <v>84</v>
      </c>
      <c r="B58" s="78"/>
      <c r="C58" s="78"/>
      <c r="D58" s="78"/>
      <c r="E58" s="78"/>
      <c r="F58" s="78"/>
      <c r="G58" s="78"/>
      <c r="H58" s="78"/>
      <c r="I58" s="79"/>
    </row>
    <row r="59" spans="1:9">
      <c r="A59" s="77" t="s">
        <v>85</v>
      </c>
      <c r="B59" s="78"/>
      <c r="C59" s="78"/>
      <c r="D59" s="78"/>
      <c r="E59" s="78"/>
      <c r="F59" s="78"/>
      <c r="G59" s="78"/>
      <c r="H59" s="78"/>
      <c r="I59" s="79"/>
    </row>
    <row r="60" spans="1:9">
      <c r="A60" s="77"/>
      <c r="B60" s="78"/>
      <c r="C60" s="78"/>
      <c r="D60" s="78"/>
      <c r="E60" s="78"/>
      <c r="F60" s="78"/>
      <c r="G60" s="78"/>
      <c r="H60" s="78"/>
      <c r="I60" s="79"/>
    </row>
    <row r="61" spans="1:9">
      <c r="A61" s="77" t="s">
        <v>57</v>
      </c>
      <c r="B61" s="78"/>
      <c r="C61" s="78"/>
      <c r="D61" s="78"/>
      <c r="E61" s="78"/>
      <c r="F61" s="78"/>
      <c r="G61" s="78"/>
      <c r="H61" s="78"/>
      <c r="I61" s="79"/>
    </row>
    <row r="62" spans="1:9">
      <c r="A62" s="77" t="s">
        <v>86</v>
      </c>
      <c r="B62" s="78"/>
      <c r="C62" s="78"/>
      <c r="D62" s="78"/>
      <c r="E62" s="78"/>
      <c r="F62" s="78"/>
      <c r="G62" s="78"/>
      <c r="H62" s="78"/>
      <c r="I62" s="79"/>
    </row>
    <row r="63" spans="1:9">
      <c r="A63" s="115" t="s">
        <v>87</v>
      </c>
      <c r="B63" s="78"/>
      <c r="C63" s="78"/>
      <c r="D63" s="78"/>
      <c r="E63" s="78"/>
      <c r="F63" s="78"/>
      <c r="G63" s="78"/>
      <c r="H63" s="78"/>
      <c r="I63" s="79"/>
    </row>
    <row r="64" spans="1:9">
      <c r="A64" s="77"/>
      <c r="B64" s="78"/>
      <c r="C64" s="78"/>
      <c r="D64" s="78"/>
      <c r="E64" s="78"/>
      <c r="F64" s="78"/>
      <c r="G64" s="78"/>
      <c r="H64" s="78"/>
      <c r="I64" s="79"/>
    </row>
    <row r="65" spans="1:9">
      <c r="A65" s="116" t="s">
        <v>48</v>
      </c>
      <c r="B65" s="78"/>
      <c r="C65" s="78"/>
      <c r="D65" s="78"/>
      <c r="E65" s="78"/>
      <c r="F65" s="78"/>
      <c r="G65" s="78"/>
      <c r="H65" s="78"/>
      <c r="I65" s="79"/>
    </row>
    <row r="66" spans="1:9">
      <c r="A66" s="77" t="s">
        <v>49</v>
      </c>
      <c r="B66" s="78"/>
      <c r="C66" s="78"/>
      <c r="D66" s="78"/>
      <c r="E66" s="78"/>
      <c r="F66" s="78"/>
      <c r="G66" s="78"/>
      <c r="H66" s="78"/>
      <c r="I66" s="79"/>
    </row>
    <row r="67" spans="1:9">
      <c r="A67" s="77" t="s">
        <v>50</v>
      </c>
      <c r="B67" s="78"/>
      <c r="C67" s="78"/>
      <c r="D67" s="78"/>
      <c r="E67" s="78"/>
      <c r="F67" s="78"/>
      <c r="G67" s="78"/>
      <c r="H67" s="78"/>
      <c r="I67" s="79"/>
    </row>
    <row r="68" spans="1:9">
      <c r="A68" s="77" t="s">
        <v>51</v>
      </c>
      <c r="B68" s="78"/>
      <c r="C68" s="78"/>
      <c r="D68" s="78"/>
      <c r="E68" s="78"/>
      <c r="F68" s="78"/>
      <c r="G68" s="78"/>
      <c r="H68" s="78"/>
      <c r="I68" s="79"/>
    </row>
    <row r="69" spans="1:9">
      <c r="A69" s="77" t="s">
        <v>52</v>
      </c>
      <c r="B69" s="78"/>
      <c r="C69" s="78"/>
      <c r="D69" s="78"/>
      <c r="E69" s="78"/>
      <c r="F69" s="78"/>
      <c r="G69" s="78"/>
      <c r="H69" s="78"/>
      <c r="I69" s="79"/>
    </row>
    <row r="70" spans="1:9">
      <c r="A70" s="77" t="s">
        <v>53</v>
      </c>
      <c r="B70" s="78"/>
      <c r="C70" s="78"/>
      <c r="D70" s="78"/>
      <c r="E70" s="78"/>
      <c r="F70" s="78"/>
      <c r="G70" s="78"/>
      <c r="H70" s="78"/>
      <c r="I70" s="79"/>
    </row>
    <row r="71" spans="1:9">
      <c r="A71" s="77" t="s">
        <v>54</v>
      </c>
      <c r="B71" s="78"/>
      <c r="C71" s="78"/>
      <c r="D71" s="78"/>
      <c r="E71" s="78"/>
      <c r="F71" s="78"/>
      <c r="G71" s="78"/>
      <c r="H71" s="78"/>
      <c r="I71" s="79"/>
    </row>
    <row r="72" spans="1:9">
      <c r="A72" s="77" t="s">
        <v>56</v>
      </c>
      <c r="B72" s="78"/>
      <c r="C72" s="78"/>
      <c r="D72" s="78"/>
      <c r="E72" s="78"/>
      <c r="F72" s="78"/>
      <c r="G72" s="78"/>
      <c r="H72" s="78"/>
      <c r="I72" s="79"/>
    </row>
    <row r="73" spans="1:9" ht="13.5" thickBot="1">
      <c r="A73" s="81" t="s">
        <v>55</v>
      </c>
      <c r="B73" s="82"/>
      <c r="C73" s="82"/>
      <c r="D73" s="82"/>
      <c r="E73" s="82"/>
      <c r="F73" s="82"/>
      <c r="G73" s="82"/>
      <c r="H73" s="82"/>
      <c r="I73" s="83"/>
    </row>
  </sheetData>
  <sortState xmlns:xlrd2="http://schemas.microsoft.com/office/spreadsheetml/2017/richdata2" ref="A10:BL18">
    <sortCondition ref="BI10:BI1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C1B30-4844-4E0C-A29D-A57C730E4AB1}">
  <dimension ref="A1:BL73"/>
  <sheetViews>
    <sheetView topLeftCell="G1" zoomScale="55" zoomScaleNormal="55" workbookViewId="0">
      <selection activeCell="AF10" sqref="AF10"/>
    </sheetView>
  </sheetViews>
  <sheetFormatPr defaultColWidth="12.42578125" defaultRowHeight="12.75"/>
  <cols>
    <col min="1" max="1" width="11.42578125" style="11" customWidth="1"/>
    <col min="2" max="2" width="9.7109375" customWidth="1"/>
    <col min="3" max="3" width="0.42578125" customWidth="1"/>
    <col min="4" max="4" width="8" customWidth="1"/>
    <col min="5" max="5" width="3.85546875" customWidth="1"/>
    <col min="6" max="6" width="8" customWidth="1"/>
    <col min="7" max="7" width="4.85546875" customWidth="1"/>
    <col min="8" max="8" width="8" customWidth="1"/>
    <col min="9" max="9" width="4.28515625" customWidth="1"/>
    <col min="10" max="10" width="9.140625" customWidth="1"/>
    <col min="11" max="11" width="4.28515625" customWidth="1"/>
    <col min="12" max="12" width="0.42578125" customWidth="1"/>
    <col min="13" max="13" width="7.7109375" style="38" customWidth="1"/>
    <col min="14" max="14" width="7.7109375" customWidth="1"/>
    <col min="15" max="15" width="7.7109375" style="38" customWidth="1"/>
    <col min="16" max="16" width="7.7109375" customWidth="1"/>
    <col min="17" max="17" width="7.7109375" style="38" customWidth="1"/>
    <col min="18" max="18" width="7.7109375" customWidth="1"/>
    <col min="19" max="19" width="10.28515625" style="53" customWidth="1"/>
    <col min="20" max="20" width="10.28515625" style="64" customWidth="1"/>
    <col min="21" max="21" width="9.42578125" style="58" customWidth="1"/>
    <col min="22" max="22" width="9.7109375" style="38" customWidth="1"/>
    <col min="23" max="23" width="0.42578125" customWidth="1"/>
    <col min="24" max="24" width="10.7109375" style="23" customWidth="1"/>
    <col min="25" max="25" width="10.42578125" style="6" customWidth="1"/>
    <col min="26" max="26" width="10.7109375" style="3" customWidth="1"/>
    <col min="27" max="27" width="0.42578125" customWidth="1"/>
    <col min="28" max="28" width="12.140625" style="11" customWidth="1"/>
    <col min="29" max="29" width="7" style="11" customWidth="1"/>
    <col min="30" max="30" width="11.7109375" customWidth="1"/>
    <col min="31" max="31" width="10" customWidth="1"/>
    <col min="32" max="32" width="8.85546875" customWidth="1"/>
    <col min="33" max="33" width="7.42578125" customWidth="1"/>
    <col min="34" max="34" width="6.42578125" style="2" customWidth="1"/>
    <col min="35" max="35" width="7.28515625" style="42" customWidth="1"/>
    <col min="36" max="36" width="7.85546875" style="42" customWidth="1"/>
    <col min="37" max="37" width="0.5703125" style="42" customWidth="1"/>
    <col min="38" max="38" width="10.7109375" style="42" customWidth="1"/>
    <col min="39" max="39" width="10.7109375" style="53" customWidth="1"/>
    <col min="40" max="40" width="9.85546875" style="53" customWidth="1"/>
    <col min="41" max="41" width="10.28515625" style="64" customWidth="1"/>
    <col min="42" max="42" width="9.42578125" style="58" customWidth="1"/>
    <col min="43" max="43" width="0.5703125" customWidth="1"/>
    <col min="45" max="45" width="4.28515625" customWidth="1"/>
    <col min="46" max="46" width="9.140625" customWidth="1"/>
    <col min="47" max="48" width="9" customWidth="1"/>
    <col min="49" max="49" width="5.85546875" customWidth="1"/>
    <col min="50" max="50" width="8.7109375" style="53" customWidth="1"/>
    <col min="51" max="51" width="9.85546875" style="53" customWidth="1"/>
    <col min="52" max="52" width="10.28515625" style="64" customWidth="1"/>
    <col min="53" max="53" width="9.42578125" style="58" customWidth="1"/>
    <col min="54" max="54" width="0.42578125" customWidth="1"/>
    <col min="56" max="56" width="5.28515625" customWidth="1"/>
    <col min="59" max="59" width="9.5703125" customWidth="1"/>
    <col min="60" max="60" width="6.42578125" customWidth="1"/>
    <col min="61" max="61" width="9.5703125" customWidth="1"/>
    <col min="62" max="62" width="9.85546875" style="53" customWidth="1"/>
    <col min="63" max="63" width="10.140625" style="64" customWidth="1"/>
    <col min="64" max="64" width="9.42578125" style="58" customWidth="1"/>
    <col min="65" max="65" width="0.42578125" customWidth="1"/>
  </cols>
  <sheetData>
    <row r="1" spans="1:64">
      <c r="A1" s="44" t="s">
        <v>75</v>
      </c>
      <c r="K1" s="114" t="s">
        <v>41</v>
      </c>
      <c r="AB1" s="11" t="s">
        <v>89</v>
      </c>
    </row>
    <row r="2" spans="1:64">
      <c r="A2" s="45" t="s">
        <v>76</v>
      </c>
      <c r="B2" s="1"/>
      <c r="C2" s="1"/>
      <c r="K2" s="114"/>
      <c r="S2" s="59" t="s">
        <v>88</v>
      </c>
      <c r="T2" s="69"/>
      <c r="U2" s="60"/>
      <c r="Y2"/>
      <c r="AB2" s="11" t="s">
        <v>91</v>
      </c>
      <c r="AN2" s="59" t="s">
        <v>88</v>
      </c>
      <c r="AO2" s="69"/>
      <c r="AP2" s="60"/>
      <c r="AY2" s="59" t="s">
        <v>88</v>
      </c>
      <c r="AZ2" s="69"/>
      <c r="BA2" s="60"/>
      <c r="BJ2" s="59" t="s">
        <v>88</v>
      </c>
      <c r="BK2" s="69"/>
      <c r="BL2" s="60"/>
    </row>
    <row r="3" spans="1:64" ht="21" thickBot="1">
      <c r="A3"/>
      <c r="B3" s="1"/>
      <c r="C3" s="1"/>
      <c r="S3" s="72" t="s">
        <v>90</v>
      </c>
      <c r="T3" s="70"/>
      <c r="U3" s="73"/>
      <c r="Y3"/>
      <c r="AB3" s="11" t="s">
        <v>42</v>
      </c>
      <c r="AN3" s="72" t="s">
        <v>90</v>
      </c>
      <c r="AO3" s="70"/>
      <c r="AP3" s="73"/>
      <c r="AY3" s="72" t="s">
        <v>90</v>
      </c>
      <c r="AZ3" s="70"/>
      <c r="BA3" s="73"/>
      <c r="BF3" s="101" t="s">
        <v>97</v>
      </c>
      <c r="BG3" s="101"/>
      <c r="BH3" s="101"/>
      <c r="BI3" s="101"/>
      <c r="BJ3" s="72" t="s">
        <v>90</v>
      </c>
      <c r="BK3" s="70"/>
      <c r="BL3" s="73"/>
    </row>
    <row r="4" spans="1:64" ht="13.5" thickBot="1">
      <c r="A4" s="89"/>
      <c r="B4" s="90" t="s">
        <v>92</v>
      </c>
      <c r="C4" s="91"/>
      <c r="D4" s="75"/>
      <c r="E4" s="75"/>
      <c r="F4" s="84" t="s">
        <v>93</v>
      </c>
      <c r="G4" s="65">
        <v>0.05</v>
      </c>
      <c r="H4" s="84" t="s">
        <v>94</v>
      </c>
      <c r="I4" s="65">
        <v>9</v>
      </c>
      <c r="J4" s="84" t="s">
        <v>95</v>
      </c>
      <c r="K4" s="65">
        <v>10</v>
      </c>
      <c r="S4" s="97" t="s">
        <v>96</v>
      </c>
      <c r="T4" s="98"/>
      <c r="U4" s="63"/>
      <c r="Y4"/>
      <c r="AB4" s="11" t="s">
        <v>43</v>
      </c>
      <c r="AN4" s="97" t="s">
        <v>96</v>
      </c>
      <c r="AO4" s="98"/>
      <c r="AP4" s="63"/>
      <c r="AY4" s="97" t="s">
        <v>96</v>
      </c>
      <c r="AZ4" s="98"/>
      <c r="BA4" s="63"/>
      <c r="BF4" s="101" t="s">
        <v>71</v>
      </c>
      <c r="BG4" s="101"/>
      <c r="BH4" s="101"/>
      <c r="BI4" s="101"/>
      <c r="BJ4" s="97" t="s">
        <v>96</v>
      </c>
      <c r="BK4" s="98"/>
      <c r="BL4" s="63"/>
    </row>
    <row r="5" spans="1:64" ht="13.5" thickBot="1">
      <c r="A5" s="85"/>
      <c r="B5" s="86" t="s">
        <v>98</v>
      </c>
      <c r="C5" s="86"/>
      <c r="D5" s="86"/>
      <c r="E5" s="86"/>
      <c r="F5" s="86"/>
      <c r="G5" s="86"/>
      <c r="H5" s="87"/>
      <c r="I5" s="87"/>
      <c r="J5" s="87"/>
      <c r="K5" s="88"/>
      <c r="N5" t="s">
        <v>99</v>
      </c>
      <c r="Q5" s="3"/>
      <c r="R5" s="2"/>
      <c r="S5" s="99" t="s">
        <v>100</v>
      </c>
      <c r="T5" s="100"/>
      <c r="U5" s="66" t="s">
        <v>101</v>
      </c>
      <c r="V5" s="3"/>
      <c r="Y5" s="19" t="s">
        <v>102</v>
      </c>
      <c r="Z5" s="24"/>
      <c r="AB5" s="85"/>
      <c r="AC5" s="92"/>
      <c r="AD5" s="93" t="s">
        <v>103</v>
      </c>
      <c r="AE5" s="93"/>
      <c r="AF5" s="86"/>
      <c r="AG5" s="94"/>
      <c r="AH5" s="94"/>
      <c r="AI5" s="94"/>
      <c r="AJ5" s="95"/>
      <c r="AN5" s="99" t="s">
        <v>100</v>
      </c>
      <c r="AO5" s="100"/>
      <c r="AP5" s="66" t="s">
        <v>101</v>
      </c>
      <c r="AR5" s="12" t="s">
        <v>104</v>
      </c>
      <c r="AS5" s="21"/>
      <c r="AT5" s="14"/>
      <c r="AY5" s="99" t="s">
        <v>100</v>
      </c>
      <c r="AZ5" s="100"/>
      <c r="BA5" s="66" t="s">
        <v>101</v>
      </c>
      <c r="BC5" s="12" t="s">
        <v>105</v>
      </c>
      <c r="BD5" s="21"/>
      <c r="BE5" s="14"/>
      <c r="BF5" s="101" t="s">
        <v>72</v>
      </c>
      <c r="BG5" s="101"/>
      <c r="BH5" s="101"/>
      <c r="BI5" s="101"/>
      <c r="BJ5" s="99" t="s">
        <v>100</v>
      </c>
      <c r="BK5" s="100"/>
      <c r="BL5" s="66" t="s">
        <v>101</v>
      </c>
    </row>
    <row r="6" spans="1:64" ht="20.25">
      <c r="D6" s="2" t="s">
        <v>106</v>
      </c>
      <c r="J6" s="52" t="s">
        <v>70</v>
      </c>
      <c r="M6" s="41" t="s">
        <v>107</v>
      </c>
      <c r="N6" s="22"/>
      <c r="O6" s="39"/>
      <c r="P6" s="22"/>
      <c r="Q6" s="39"/>
      <c r="R6" s="20"/>
      <c r="S6" s="99" t="s">
        <v>108</v>
      </c>
      <c r="T6" s="100"/>
      <c r="U6" s="67" t="str">
        <f>"@table-wide"</f>
        <v>@table-wide</v>
      </c>
      <c r="V6" s="46" t="s">
        <v>109</v>
      </c>
      <c r="X6" s="30" t="s">
        <v>110</v>
      </c>
      <c r="Y6" s="25" t="s">
        <v>111</v>
      </c>
      <c r="Z6" s="26"/>
      <c r="AN6" s="99" t="s">
        <v>108</v>
      </c>
      <c r="AO6" s="100"/>
      <c r="AP6" s="67" t="str">
        <f>"@table-wide"</f>
        <v>@table-wide</v>
      </c>
      <c r="AR6" s="35" t="s">
        <v>112</v>
      </c>
      <c r="AS6" s="5"/>
      <c r="AT6" s="36"/>
      <c r="AY6" s="99" t="s">
        <v>108</v>
      </c>
      <c r="AZ6" s="100"/>
      <c r="BA6" s="67" t="str">
        <f>"@table-wide"</f>
        <v>@table-wide</v>
      </c>
      <c r="BC6" s="35" t="s">
        <v>113</v>
      </c>
      <c r="BD6" s="5"/>
      <c r="BE6" s="36"/>
      <c r="BF6" s="101" t="s">
        <v>73</v>
      </c>
      <c r="BG6" s="101"/>
      <c r="BH6" s="101"/>
      <c r="BI6" s="101"/>
      <c r="BJ6" s="99" t="s">
        <v>108</v>
      </c>
      <c r="BK6" s="100"/>
      <c r="BL6" s="67" t="str">
        <f>"@table-wide"</f>
        <v>@table-wide</v>
      </c>
    </row>
    <row r="7" spans="1:64">
      <c r="B7" s="2"/>
      <c r="C7" s="2"/>
      <c r="D7" s="17" t="s">
        <v>114</v>
      </c>
      <c r="E7" s="18"/>
      <c r="F7" s="17" t="s">
        <v>115</v>
      </c>
      <c r="G7" s="18"/>
      <c r="H7" s="17" t="s">
        <v>116</v>
      </c>
      <c r="I7" s="18"/>
      <c r="J7" s="16" t="s">
        <v>117</v>
      </c>
      <c r="K7" s="15"/>
      <c r="M7" s="40" t="s">
        <v>118</v>
      </c>
      <c r="N7" s="20"/>
      <c r="O7" s="40" t="s">
        <v>119</v>
      </c>
      <c r="P7" s="20"/>
      <c r="Q7" s="40" t="s">
        <v>120</v>
      </c>
      <c r="R7" s="20"/>
      <c r="S7" s="61" t="s">
        <v>121</v>
      </c>
      <c r="T7" s="66" t="s">
        <v>0</v>
      </c>
      <c r="U7" s="68" t="s">
        <v>1</v>
      </c>
      <c r="V7" s="47" t="s">
        <v>2</v>
      </c>
      <c r="X7" s="32" t="s">
        <v>3</v>
      </c>
      <c r="Y7" s="28" t="s">
        <v>4</v>
      </c>
      <c r="Z7" s="29"/>
      <c r="AA7" s="2"/>
      <c r="AF7" s="2"/>
      <c r="AL7" s="56" t="s">
        <v>5</v>
      </c>
      <c r="AM7" s="57"/>
      <c r="AN7" s="61" t="s">
        <v>121</v>
      </c>
      <c r="AO7" s="66" t="s">
        <v>0</v>
      </c>
      <c r="AP7" s="68" t="s">
        <v>1</v>
      </c>
      <c r="AR7" s="7" t="s">
        <v>6</v>
      </c>
      <c r="AS7" s="13"/>
      <c r="AT7" s="13" t="s">
        <v>7</v>
      </c>
      <c r="AU7" s="33"/>
      <c r="AV7" s="33"/>
      <c r="AW7" s="13"/>
      <c r="AX7" s="55"/>
      <c r="AY7" s="61" t="s">
        <v>121</v>
      </c>
      <c r="AZ7" s="66" t="s">
        <v>0</v>
      </c>
      <c r="BA7" s="68" t="s">
        <v>1</v>
      </c>
      <c r="BC7" s="7" t="s">
        <v>6</v>
      </c>
      <c r="BD7" s="13"/>
      <c r="BE7" s="13" t="s">
        <v>7</v>
      </c>
      <c r="BF7" s="33"/>
      <c r="BG7" s="33"/>
      <c r="BH7" s="13"/>
      <c r="BI7" s="8"/>
      <c r="BJ7" s="61" t="s">
        <v>121</v>
      </c>
      <c r="BK7" s="66" t="s">
        <v>0</v>
      </c>
      <c r="BL7" s="68" t="s">
        <v>1</v>
      </c>
    </row>
    <row r="8" spans="1:64" ht="20.25">
      <c r="A8" s="37" t="s">
        <v>8</v>
      </c>
      <c r="B8" s="37" t="s">
        <v>9</v>
      </c>
      <c r="C8" s="2"/>
      <c r="D8" s="37" t="s">
        <v>10</v>
      </c>
      <c r="E8" s="15" t="s">
        <v>11</v>
      </c>
      <c r="F8" s="37" t="s">
        <v>10</v>
      </c>
      <c r="G8" s="10" t="s">
        <v>12</v>
      </c>
      <c r="H8" s="37" t="s">
        <v>10</v>
      </c>
      <c r="I8" s="10" t="s">
        <v>12</v>
      </c>
      <c r="J8" s="37" t="s">
        <v>10</v>
      </c>
      <c r="K8" s="10" t="s">
        <v>12</v>
      </c>
      <c r="M8" s="51" t="s">
        <v>13</v>
      </c>
      <c r="N8" s="15" t="s">
        <v>14</v>
      </c>
      <c r="O8" s="51" t="s">
        <v>13</v>
      </c>
      <c r="P8" s="15" t="s">
        <v>14</v>
      </c>
      <c r="Q8" s="51" t="s">
        <v>13</v>
      </c>
      <c r="R8" s="15" t="s">
        <v>14</v>
      </c>
      <c r="S8" s="62" t="s">
        <v>15</v>
      </c>
      <c r="T8" s="71" t="s">
        <v>16</v>
      </c>
      <c r="U8" s="62">
        <f>$G$4</f>
        <v>0.05</v>
      </c>
      <c r="V8" s="48" t="s">
        <v>17</v>
      </c>
      <c r="X8" s="31" t="s">
        <v>18</v>
      </c>
      <c r="Y8" s="52" t="s">
        <v>69</v>
      </c>
      <c r="Z8" s="27" t="s">
        <v>19</v>
      </c>
      <c r="AA8" s="4"/>
      <c r="AB8" s="4" t="s">
        <v>8</v>
      </c>
      <c r="AC8" s="4" t="s">
        <v>9</v>
      </c>
      <c r="AD8" s="4" t="s">
        <v>20</v>
      </c>
      <c r="AE8" s="4" t="s">
        <v>21</v>
      </c>
      <c r="AF8" s="4" t="s">
        <v>22</v>
      </c>
      <c r="AG8" s="4" t="s">
        <v>23</v>
      </c>
      <c r="AH8" s="4" t="s">
        <v>24</v>
      </c>
      <c r="AI8" s="43" t="s">
        <v>25</v>
      </c>
      <c r="AJ8" s="43" t="s">
        <v>74</v>
      </c>
      <c r="AK8" s="49"/>
      <c r="AL8" s="50" t="s">
        <v>27</v>
      </c>
      <c r="AM8" s="54" t="s">
        <v>14</v>
      </c>
      <c r="AN8" s="62" t="s">
        <v>15</v>
      </c>
      <c r="AO8" s="71" t="s">
        <v>16</v>
      </c>
      <c r="AP8" s="62">
        <f>$G$4</f>
        <v>0.05</v>
      </c>
      <c r="AR8" s="9" t="s">
        <v>25</v>
      </c>
      <c r="AS8" s="4" t="s">
        <v>24</v>
      </c>
      <c r="AT8" s="4" t="s">
        <v>28</v>
      </c>
      <c r="AU8" s="34" t="s">
        <v>29</v>
      </c>
      <c r="AV8" s="34" t="s">
        <v>27</v>
      </c>
      <c r="AW8" s="4" t="s">
        <v>12</v>
      </c>
      <c r="AX8" s="54" t="s">
        <v>30</v>
      </c>
      <c r="AY8" s="62" t="s">
        <v>15</v>
      </c>
      <c r="AZ8" s="71" t="s">
        <v>16</v>
      </c>
      <c r="BA8" s="62">
        <f>$G$4</f>
        <v>0.05</v>
      </c>
      <c r="BC8" s="9" t="s">
        <v>26</v>
      </c>
      <c r="BD8" s="4" t="s">
        <v>24</v>
      </c>
      <c r="BE8" s="4" t="s">
        <v>28</v>
      </c>
      <c r="BF8" s="34" t="s">
        <v>31</v>
      </c>
      <c r="BG8" s="34" t="s">
        <v>27</v>
      </c>
      <c r="BH8" s="4" t="s">
        <v>12</v>
      </c>
      <c r="BI8" s="10" t="s">
        <v>32</v>
      </c>
      <c r="BJ8" s="62" t="s">
        <v>15</v>
      </c>
      <c r="BK8" s="71" t="s">
        <v>16</v>
      </c>
      <c r="BL8" s="62">
        <f>$G$4</f>
        <v>0.05</v>
      </c>
    </row>
    <row r="9" spans="1:64" s="104" customFormat="1">
      <c r="A9" s="96" t="s">
        <v>33</v>
      </c>
      <c r="B9" s="103"/>
      <c r="C9" s="103"/>
      <c r="D9" s="103"/>
      <c r="E9" s="103"/>
      <c r="F9" s="103"/>
      <c r="G9" s="103"/>
      <c r="H9" s="103"/>
      <c r="I9" s="103"/>
      <c r="J9" s="103"/>
      <c r="K9" s="103"/>
      <c r="M9" s="105" t="e">
        <f t="shared" ref="M9:M18" si="0">$D9/$H9</f>
        <v>#DIV/0!</v>
      </c>
      <c r="N9" s="104" t="e">
        <f t="shared" ref="N9:N18" si="1">FDIST(M9,$E9,$I9)</f>
        <v>#DIV/0!</v>
      </c>
      <c r="O9" s="105" t="e">
        <f t="shared" ref="O9:O18" si="2">$F9/$H9</f>
        <v>#DIV/0!</v>
      </c>
      <c r="P9" s="104" t="e">
        <f t="shared" ref="P9:P18" si="3">FDIST(O9,$G9,$I9)</f>
        <v>#DIV/0!</v>
      </c>
      <c r="Q9" s="105" t="e">
        <f t="shared" ref="Q9:Q18" si="4">$H9/$J9</f>
        <v>#DIV/0!</v>
      </c>
      <c r="R9" s="104" t="e">
        <f t="shared" ref="R9:R18" si="5">FDIST(Q9,$I9,$K9)</f>
        <v>#DIV/0!</v>
      </c>
      <c r="S9" s="106">
        <f t="shared" ref="S9:S18" si="6">$G$4/T9</f>
        <v>5.5555555555555558E-3</v>
      </c>
      <c r="T9" s="107">
        <f t="shared" ref="T9:T18" si="7">IF(ROW(T9)&gt;10,T8-1,$I$4)</f>
        <v>9</v>
      </c>
      <c r="U9" s="108" t="e">
        <f t="shared" ref="U9:U18" si="8">IF(ROW(U9)&gt;$K$4,IF(AND(R9&lt;S9,LEN(U8)=1),"*","n.s."),IF(R9&lt;S9,"*","n.s."))</f>
        <v>#DIV/0!</v>
      </c>
      <c r="V9" s="105" t="e">
        <f t="shared" ref="V9:V18" si="9">100*$J9/$H9</f>
        <v>#DIV/0!</v>
      </c>
      <c r="X9" s="109">
        <f t="shared" ref="X9:X18" si="10">($K9/(($E9+1)*($G9+1)))+1</f>
        <v>1</v>
      </c>
      <c r="Y9" s="110">
        <f t="shared" ref="Y9:Y18" si="11">($H9-$J9)/X9</f>
        <v>0</v>
      </c>
      <c r="Z9" s="111" t="e">
        <f t="shared" ref="Z9:Z18" si="12">(($H9-$J9)*($H9-$J9))/((($H9*$H9)/$I9)+(($J9*$J9)/$K9))</f>
        <v>#DIV/0!</v>
      </c>
      <c r="AB9" s="102" t="str">
        <f t="shared" ref="AB9:AB18" si="13">$A9</f>
        <v>FORUMULAE!!!  DO NOT ENTER VALUES IN THIS ROW --&gt;</v>
      </c>
      <c r="AC9" s="102">
        <f t="shared" ref="AC9:AC18" si="14">$B9</f>
        <v>0</v>
      </c>
      <c r="AH9" s="103"/>
      <c r="AI9" s="112"/>
      <c r="AJ9" s="112"/>
      <c r="AK9" s="112"/>
      <c r="AL9" s="112" t="e">
        <f t="shared" ref="AL9:AL18" si="15">$AF9/$AG9</f>
        <v>#DIV/0!</v>
      </c>
      <c r="AM9" s="106" t="e">
        <f t="shared" ref="AM9:AM18" si="16">TDIST(ABS($AL9),($AH9-1),2)</f>
        <v>#DIV/0!</v>
      </c>
      <c r="AN9" s="106">
        <f t="shared" ref="AN9:AN18" si="17">$G$4/AO9</f>
        <v>5.5555555555555558E-3</v>
      </c>
      <c r="AO9" s="107">
        <f t="shared" ref="AO9:AO18" si="18">IF(ROW(AO9)&gt;10,AO8-1,$I$4)</f>
        <v>9</v>
      </c>
      <c r="AP9" s="108" t="e">
        <f t="shared" ref="AP9:AP18" si="19">IF(ROW(AP9)&gt;$K$4,IF(AND(AM9&lt;AN9,LEN(AP8)=1),"*","n.s."),IF(AM9&lt;AN9,"*","n.s."))</f>
        <v>#DIV/0!</v>
      </c>
      <c r="AR9" s="113">
        <f t="shared" ref="AR9:AR18" si="20">$AI9</f>
        <v>0</v>
      </c>
      <c r="AS9" s="104">
        <f t="shared" ref="AS9:AS18" si="21">$AH9</f>
        <v>0</v>
      </c>
      <c r="AT9" s="103">
        <v>0</v>
      </c>
      <c r="AU9" s="113">
        <f t="shared" ref="AU9:AU18" si="22">SQRT((6*$AS9*($AS9-1))/(($AS9-2)*($AS9+1)*($AS9+3)))</f>
        <v>0</v>
      </c>
      <c r="AV9" s="113" t="e">
        <f t="shared" ref="AV9:AV18" si="23">(AR9-AT9)/AU9</f>
        <v>#DIV/0!</v>
      </c>
      <c r="AW9" s="103" t="s">
        <v>34</v>
      </c>
      <c r="AX9" s="106" t="e">
        <f t="shared" ref="AX9:AX18" si="24">TDIST(ABS(AV9),10000,2)</f>
        <v>#DIV/0!</v>
      </c>
      <c r="AY9" s="106">
        <f t="shared" ref="AY9:AY18" si="25">$G$4/AZ9</f>
        <v>5.5555555555555558E-3</v>
      </c>
      <c r="AZ9" s="107">
        <f t="shared" ref="AZ9:AZ18" si="26">IF(ROW(AZ9)&gt;10,AZ8-1,$I$4)</f>
        <v>9</v>
      </c>
      <c r="BA9" s="108" t="e">
        <f t="shared" ref="BA9:BA18" si="27">IF(ROW(BA9)&gt;$K$4,IF(AND(AX9&lt;AY9,LEN(BA8)=1),"*","n.s."),IF(AX9&lt;AY9,"*","n.s."))</f>
        <v>#DIV/0!</v>
      </c>
      <c r="BC9" s="113">
        <f t="shared" ref="BC9:BC18" si="28">$AJ9</f>
        <v>0</v>
      </c>
      <c r="BD9" s="104">
        <f t="shared" ref="BD9:BD18" si="29">$AH9</f>
        <v>0</v>
      </c>
      <c r="BE9" s="103">
        <v>0</v>
      </c>
      <c r="BF9" s="113">
        <f t="shared" ref="BF9:BF18" si="30">SQRT((24*$BD9*($BD9-1)*($BD9-1))/(($BD9-3)*($BD9-2)*($BD9+3)*($BD9+5)))</f>
        <v>0</v>
      </c>
      <c r="BG9" s="113" t="e">
        <f t="shared" ref="BG9:BG18" si="31">(BC9-BE9)/BF9</f>
        <v>#DIV/0!</v>
      </c>
      <c r="BH9" s="103" t="s">
        <v>34</v>
      </c>
      <c r="BI9" s="104" t="e">
        <f t="shared" ref="BI9:BI18" si="32">TDIST(ABS(BG9),10000,2)</f>
        <v>#DIV/0!</v>
      </c>
      <c r="BJ9" s="106">
        <f t="shared" ref="BJ9:BJ18" si="33">$G$4/BK9</f>
        <v>5.5555555555555558E-3</v>
      </c>
      <c r="BK9" s="107">
        <f t="shared" ref="BK9:BK18" si="34">IF(ROW(BK9)&gt;10,BK8-1,$I$4)</f>
        <v>9</v>
      </c>
      <c r="BL9" s="108" t="e">
        <f t="shared" ref="BL9:BL18" si="35">IF(ROW(BL9)&gt;$K$4,IF(AND(BI9&lt;BJ9,LEN(BL8)=1),"*","n.s."),IF(BI9&lt;BJ9,"*","n.s."))</f>
        <v>#DIV/0!</v>
      </c>
    </row>
    <row r="10" spans="1:64" s="104" customFormat="1" ht="15">
      <c r="A10" s="117" t="s">
        <v>134</v>
      </c>
      <c r="B10" s="117" t="s">
        <v>125</v>
      </c>
      <c r="C10" s="117"/>
      <c r="D10" s="117">
        <v>8.4000000000000005E-2</v>
      </c>
      <c r="E10" s="117">
        <v>1</v>
      </c>
      <c r="F10" s="117">
        <v>6.4669999999999996</v>
      </c>
      <c r="G10" s="117">
        <v>14</v>
      </c>
      <c r="H10" s="117">
        <v>0.69340000000000002</v>
      </c>
      <c r="I10" s="117">
        <v>14</v>
      </c>
      <c r="J10" s="117">
        <v>2.69E-2</v>
      </c>
      <c r="K10" s="117">
        <v>270</v>
      </c>
      <c r="L10"/>
      <c r="M10" s="105">
        <f t="shared" si="0"/>
        <v>0.12114219786558986</v>
      </c>
      <c r="N10" s="104">
        <f t="shared" si="1"/>
        <v>0.73297689420966683</v>
      </c>
      <c r="O10" s="105">
        <f t="shared" si="2"/>
        <v>9.3265070666282082</v>
      </c>
      <c r="P10" s="104">
        <f t="shared" si="3"/>
        <v>8.0729732427260029E-5</v>
      </c>
      <c r="Q10" s="105">
        <f t="shared" si="4"/>
        <v>25.776951672862452</v>
      </c>
      <c r="R10" s="104">
        <f t="shared" si="5"/>
        <v>6.1900065910194032E-42</v>
      </c>
      <c r="S10" s="106">
        <f t="shared" si="6"/>
        <v>5.5555555555555558E-3</v>
      </c>
      <c r="T10" s="107">
        <f t="shared" si="7"/>
        <v>9</v>
      </c>
      <c r="U10" s="108" t="str">
        <f t="shared" si="8"/>
        <v>*</v>
      </c>
      <c r="V10" s="105">
        <f t="shared" si="9"/>
        <v>3.8794346697432935</v>
      </c>
      <c r="X10" s="109">
        <f t="shared" si="10"/>
        <v>10</v>
      </c>
      <c r="Y10" s="110">
        <f t="shared" si="11"/>
        <v>6.6650000000000001E-2</v>
      </c>
      <c r="Z10" s="111">
        <f t="shared" si="12"/>
        <v>12.933818993363825</v>
      </c>
      <c r="AB10" s="102" t="str">
        <f t="shared" si="13"/>
        <v>malelength</v>
      </c>
      <c r="AC10" s="102" t="str">
        <f t="shared" si="14"/>
        <v>MNP4</v>
      </c>
      <c r="AD10">
        <v>8.23</v>
      </c>
      <c r="AE10">
        <v>0.15</v>
      </c>
      <c r="AF10">
        <v>-0.03</v>
      </c>
      <c r="AG10">
        <v>0.1</v>
      </c>
      <c r="AH10">
        <v>15</v>
      </c>
      <c r="AI10">
        <v>1.290087</v>
      </c>
      <c r="AJ10">
        <v>1.2260599999999999</v>
      </c>
      <c r="AK10" s="42"/>
      <c r="AL10" s="112">
        <f t="shared" si="15"/>
        <v>-0.3</v>
      </c>
      <c r="AM10" s="106">
        <f t="shared" si="16"/>
        <v>0.76858538314900582</v>
      </c>
      <c r="AN10" s="106">
        <f t="shared" si="17"/>
        <v>5.5555555555555558E-3</v>
      </c>
      <c r="AO10" s="107">
        <f t="shared" si="18"/>
        <v>9</v>
      </c>
      <c r="AP10" s="108" t="str">
        <f t="shared" si="19"/>
        <v>n.s.</v>
      </c>
      <c r="AR10" s="113">
        <f t="shared" si="20"/>
        <v>1.290087</v>
      </c>
      <c r="AS10" s="104">
        <f t="shared" si="21"/>
        <v>15</v>
      </c>
      <c r="AT10" s="103">
        <v>0</v>
      </c>
      <c r="AU10" s="113">
        <f t="shared" si="22"/>
        <v>0.58011935111532142</v>
      </c>
      <c r="AV10" s="113">
        <f t="shared" si="23"/>
        <v>2.2238303161577258</v>
      </c>
      <c r="AW10" s="103" t="s">
        <v>34</v>
      </c>
      <c r="AX10" s="106">
        <f t="shared" si="24"/>
        <v>2.6182112855093805E-2</v>
      </c>
      <c r="AY10" s="106">
        <f t="shared" si="25"/>
        <v>5.5555555555555558E-3</v>
      </c>
      <c r="AZ10" s="107">
        <f t="shared" si="26"/>
        <v>9</v>
      </c>
      <c r="BA10" s="108" t="str">
        <f t="shared" si="27"/>
        <v>n.s.</v>
      </c>
      <c r="BC10" s="113">
        <f t="shared" si="28"/>
        <v>1.2260599999999999</v>
      </c>
      <c r="BD10" s="104">
        <f t="shared" si="29"/>
        <v>15</v>
      </c>
      <c r="BE10" s="103">
        <v>0</v>
      </c>
      <c r="BF10" s="113">
        <f t="shared" si="30"/>
        <v>1.1208970766356099</v>
      </c>
      <c r="BG10" s="113">
        <f t="shared" si="31"/>
        <v>1.0938203208451913</v>
      </c>
      <c r="BH10" s="103" t="s">
        <v>34</v>
      </c>
      <c r="BI10" s="104">
        <f t="shared" si="32"/>
        <v>0.27406013687655068</v>
      </c>
      <c r="BJ10" s="106">
        <f t="shared" si="33"/>
        <v>5.5555555555555558E-3</v>
      </c>
      <c r="BK10" s="107">
        <f t="shared" si="34"/>
        <v>9</v>
      </c>
      <c r="BL10" s="108" t="str">
        <f t="shared" si="35"/>
        <v>n.s.</v>
      </c>
    </row>
    <row r="11" spans="1:64" s="104" customFormat="1" ht="15">
      <c r="A11" s="117" t="s">
        <v>134</v>
      </c>
      <c r="B11" s="117" t="s">
        <v>130</v>
      </c>
      <c r="C11" s="117"/>
      <c r="D11" s="117">
        <v>28.78</v>
      </c>
      <c r="E11" s="117">
        <v>1</v>
      </c>
      <c r="F11" s="117">
        <v>3.827</v>
      </c>
      <c r="G11" s="117">
        <v>28</v>
      </c>
      <c r="H11" s="117">
        <v>1.0269999999999999</v>
      </c>
      <c r="I11" s="117">
        <v>28</v>
      </c>
      <c r="J11" s="117">
        <v>3.2460000000000003E-2</v>
      </c>
      <c r="K11" s="117">
        <v>522</v>
      </c>
      <c r="L11"/>
      <c r="M11" s="105">
        <f t="shared" si="0"/>
        <v>28.023369036027269</v>
      </c>
      <c r="N11" s="104">
        <f t="shared" si="1"/>
        <v>1.2429901585843262E-5</v>
      </c>
      <c r="O11" s="105">
        <f t="shared" si="2"/>
        <v>3.7263875365141192</v>
      </c>
      <c r="P11" s="104">
        <f t="shared" si="3"/>
        <v>4.2360872968979433E-4</v>
      </c>
      <c r="Q11" s="105">
        <f t="shared" si="4"/>
        <v>31.638940234134314</v>
      </c>
      <c r="R11" s="104">
        <f t="shared" si="5"/>
        <v>5.0566121212105195E-94</v>
      </c>
      <c r="S11" s="106">
        <f t="shared" si="6"/>
        <v>6.2500000000000003E-3</v>
      </c>
      <c r="T11" s="107">
        <f t="shared" si="7"/>
        <v>8</v>
      </c>
      <c r="U11" s="108" t="str">
        <f t="shared" si="8"/>
        <v>*</v>
      </c>
      <c r="V11" s="105">
        <f t="shared" si="9"/>
        <v>3.1606621226874396</v>
      </c>
      <c r="X11" s="109">
        <f t="shared" si="10"/>
        <v>10</v>
      </c>
      <c r="Y11" s="110">
        <f t="shared" si="11"/>
        <v>9.9453999999999987E-2</v>
      </c>
      <c r="Z11" s="111">
        <f t="shared" si="12"/>
        <v>26.25659364845902</v>
      </c>
      <c r="AB11" s="102" t="str">
        <f t="shared" si="13"/>
        <v>malelength</v>
      </c>
      <c r="AC11" s="102" t="str">
        <f t="shared" si="14"/>
        <v>MXP4</v>
      </c>
      <c r="AD11">
        <v>7.18</v>
      </c>
      <c r="AE11">
        <v>0.08</v>
      </c>
      <c r="AF11">
        <v>-0.45</v>
      </c>
      <c r="AG11">
        <v>0.08</v>
      </c>
      <c r="AH11">
        <v>29</v>
      </c>
      <c r="AI11">
        <v>0.76066339999999999</v>
      </c>
      <c r="AJ11">
        <v>0.38474029999999998</v>
      </c>
      <c r="AK11" s="42"/>
      <c r="AL11" s="112">
        <f t="shared" si="15"/>
        <v>-5.625</v>
      </c>
      <c r="AM11" s="106">
        <f t="shared" si="16"/>
        <v>5.0433950861954707E-6</v>
      </c>
      <c r="AN11" s="106">
        <f t="shared" si="17"/>
        <v>6.2500000000000003E-3</v>
      </c>
      <c r="AO11" s="107">
        <f t="shared" si="18"/>
        <v>8</v>
      </c>
      <c r="AP11" s="108" t="str">
        <f t="shared" si="19"/>
        <v>n.s.</v>
      </c>
      <c r="AR11" s="113">
        <f t="shared" si="20"/>
        <v>0.76066339999999999</v>
      </c>
      <c r="AS11" s="104">
        <f t="shared" si="21"/>
        <v>29</v>
      </c>
      <c r="AT11" s="103">
        <v>0</v>
      </c>
      <c r="AU11" s="113">
        <f t="shared" si="22"/>
        <v>0.43354695589170383</v>
      </c>
      <c r="AV11" s="113">
        <f t="shared" si="23"/>
        <v>1.7545121460615374</v>
      </c>
      <c r="AW11" s="103" t="s">
        <v>34</v>
      </c>
      <c r="AX11" s="106">
        <f t="shared" si="24"/>
        <v>7.9373415175828341E-2</v>
      </c>
      <c r="AY11" s="106">
        <f t="shared" si="25"/>
        <v>6.2500000000000003E-3</v>
      </c>
      <c r="AZ11" s="107">
        <f t="shared" si="26"/>
        <v>8</v>
      </c>
      <c r="BA11" s="108" t="str">
        <f t="shared" si="27"/>
        <v>n.s.</v>
      </c>
      <c r="BC11" s="113">
        <f t="shared" si="28"/>
        <v>0.38474029999999998</v>
      </c>
      <c r="BD11" s="104">
        <f t="shared" si="29"/>
        <v>29</v>
      </c>
      <c r="BE11" s="103">
        <v>0</v>
      </c>
      <c r="BF11" s="113">
        <f t="shared" si="30"/>
        <v>0.84523923328734862</v>
      </c>
      <c r="BG11" s="113">
        <f t="shared" si="31"/>
        <v>0.45518509416990488</v>
      </c>
      <c r="BH11" s="103" t="s">
        <v>34</v>
      </c>
      <c r="BI11" s="104">
        <f t="shared" si="32"/>
        <v>0.64898596523408192</v>
      </c>
      <c r="BJ11" s="106">
        <f t="shared" si="33"/>
        <v>6.2500000000000003E-3</v>
      </c>
      <c r="BK11" s="107">
        <f t="shared" si="34"/>
        <v>8</v>
      </c>
      <c r="BL11" s="108" t="str">
        <f t="shared" si="35"/>
        <v>n.s.</v>
      </c>
    </row>
    <row r="12" spans="1:64" s="104" customFormat="1" ht="15">
      <c r="A12" s="117" t="s">
        <v>134</v>
      </c>
      <c r="B12" s="117" t="s">
        <v>129</v>
      </c>
      <c r="C12" s="117"/>
      <c r="D12" s="117">
        <v>1.1664000000000001</v>
      </c>
      <c r="E12" s="117">
        <v>1</v>
      </c>
      <c r="F12" s="117">
        <v>4.1479999999999997</v>
      </c>
      <c r="G12" s="117">
        <v>24</v>
      </c>
      <c r="H12" s="117">
        <v>0.41220000000000001</v>
      </c>
      <c r="I12" s="117">
        <v>24</v>
      </c>
      <c r="J12" s="117">
        <v>2.2159999999999999E-2</v>
      </c>
      <c r="K12" s="117">
        <v>450</v>
      </c>
      <c r="L12"/>
      <c r="M12" s="105">
        <f t="shared" si="0"/>
        <v>2.8296943231441052</v>
      </c>
      <c r="N12" s="104">
        <f t="shared" si="1"/>
        <v>0.10550368776052282</v>
      </c>
      <c r="O12" s="105">
        <f t="shared" si="2"/>
        <v>10.063076176613293</v>
      </c>
      <c r="P12" s="104">
        <f t="shared" si="3"/>
        <v>1.5470032634240944E-7</v>
      </c>
      <c r="Q12" s="105">
        <f t="shared" si="4"/>
        <v>18.601083032490976</v>
      </c>
      <c r="R12" s="104">
        <f t="shared" si="5"/>
        <v>5.5785259942290431E-53</v>
      </c>
      <c r="S12" s="106">
        <f t="shared" si="6"/>
        <v>7.1428571428571435E-3</v>
      </c>
      <c r="T12" s="107">
        <f t="shared" si="7"/>
        <v>7</v>
      </c>
      <c r="U12" s="108" t="str">
        <f t="shared" si="8"/>
        <v>*</v>
      </c>
      <c r="V12" s="105">
        <f t="shared" si="9"/>
        <v>5.3760310528869475</v>
      </c>
      <c r="X12" s="109">
        <f t="shared" si="10"/>
        <v>10</v>
      </c>
      <c r="Y12" s="110">
        <f t="shared" si="11"/>
        <v>3.9003999999999997E-2</v>
      </c>
      <c r="Z12" s="111">
        <f t="shared" si="12"/>
        <v>21.485557361820696</v>
      </c>
      <c r="AB12" s="102" t="str">
        <f t="shared" si="13"/>
        <v>malelength</v>
      </c>
      <c r="AC12" s="102" t="str">
        <f t="shared" si="14"/>
        <v>MXP3</v>
      </c>
      <c r="AD12">
        <v>7.39</v>
      </c>
      <c r="AE12">
        <v>0.09</v>
      </c>
      <c r="AF12">
        <v>-0.1</v>
      </c>
      <c r="AG12">
        <v>0.06</v>
      </c>
      <c r="AH12">
        <v>25</v>
      </c>
      <c r="AI12">
        <v>0.21977070000000001</v>
      </c>
      <c r="AJ12">
        <v>0.37114710000000001</v>
      </c>
      <c r="AK12" s="42"/>
      <c r="AL12" s="112">
        <f t="shared" si="15"/>
        <v>-1.6666666666666667</v>
      </c>
      <c r="AM12" s="106">
        <f t="shared" si="16"/>
        <v>0.10858012302472278</v>
      </c>
      <c r="AN12" s="106">
        <f t="shared" si="17"/>
        <v>7.1428571428571435E-3</v>
      </c>
      <c r="AO12" s="107">
        <f t="shared" si="18"/>
        <v>7</v>
      </c>
      <c r="AP12" s="108" t="str">
        <f t="shared" si="19"/>
        <v>n.s.</v>
      </c>
      <c r="AR12" s="113">
        <f t="shared" si="20"/>
        <v>0.21977070000000001</v>
      </c>
      <c r="AS12" s="104">
        <f t="shared" si="21"/>
        <v>25</v>
      </c>
      <c r="AT12" s="103">
        <v>0</v>
      </c>
      <c r="AU12" s="113">
        <f t="shared" si="22"/>
        <v>0.4636835008013897</v>
      </c>
      <c r="AV12" s="113">
        <f t="shared" si="23"/>
        <v>0.47396704782500931</v>
      </c>
      <c r="AW12" s="103" t="s">
        <v>34</v>
      </c>
      <c r="AX12" s="106">
        <f t="shared" si="24"/>
        <v>0.63553375357076036</v>
      </c>
      <c r="AY12" s="106">
        <f t="shared" si="25"/>
        <v>7.1428571428571435E-3</v>
      </c>
      <c r="AZ12" s="107">
        <f t="shared" si="26"/>
        <v>7</v>
      </c>
      <c r="BA12" s="108" t="str">
        <f t="shared" si="27"/>
        <v>n.s.</v>
      </c>
      <c r="BC12" s="113">
        <f t="shared" si="28"/>
        <v>0.37114710000000001</v>
      </c>
      <c r="BD12" s="104">
        <f t="shared" si="29"/>
        <v>25</v>
      </c>
      <c r="BE12" s="103">
        <v>0</v>
      </c>
      <c r="BF12" s="113">
        <f t="shared" si="30"/>
        <v>0.90172054625295417</v>
      </c>
      <c r="BG12" s="113">
        <f t="shared" si="31"/>
        <v>0.41159880579662911</v>
      </c>
      <c r="BH12" s="103" t="s">
        <v>34</v>
      </c>
      <c r="BI12" s="104">
        <f t="shared" si="32"/>
        <v>0.68064232827799809</v>
      </c>
      <c r="BJ12" s="106">
        <f t="shared" si="33"/>
        <v>7.1428571428571435E-3</v>
      </c>
      <c r="BK12" s="107">
        <f t="shared" si="34"/>
        <v>7</v>
      </c>
      <c r="BL12" s="108" t="str">
        <f t="shared" si="35"/>
        <v>n.s.</v>
      </c>
    </row>
    <row r="13" spans="1:64" s="104" customFormat="1" ht="15">
      <c r="A13" s="117" t="s">
        <v>134</v>
      </c>
      <c r="B13" s="117" t="s">
        <v>127</v>
      </c>
      <c r="C13" s="117"/>
      <c r="D13" s="117">
        <v>35.369999999999997</v>
      </c>
      <c r="E13" s="117">
        <v>1</v>
      </c>
      <c r="F13" s="117">
        <v>10.77</v>
      </c>
      <c r="G13" s="117">
        <v>34</v>
      </c>
      <c r="H13" s="117">
        <v>0.78</v>
      </c>
      <c r="I13" s="117">
        <v>34</v>
      </c>
      <c r="J13" s="117">
        <v>7.0690000000000003E-2</v>
      </c>
      <c r="K13" s="117">
        <v>630</v>
      </c>
      <c r="L13"/>
      <c r="M13" s="105">
        <f t="shared" si="0"/>
        <v>45.34615384615384</v>
      </c>
      <c r="N13" s="104">
        <f t="shared" si="1"/>
        <v>9.7512914538179483E-8</v>
      </c>
      <c r="O13" s="105">
        <f t="shared" si="2"/>
        <v>13.807692307692307</v>
      </c>
      <c r="P13" s="104">
        <f t="shared" si="3"/>
        <v>5.1466602935333968E-12</v>
      </c>
      <c r="Q13" s="105">
        <f t="shared" si="4"/>
        <v>11.03409251662187</v>
      </c>
      <c r="R13" s="104">
        <f t="shared" si="5"/>
        <v>1.3031863730100087E-44</v>
      </c>
      <c r="S13" s="106">
        <f t="shared" si="6"/>
        <v>8.3333333333333332E-3</v>
      </c>
      <c r="T13" s="107">
        <f t="shared" si="7"/>
        <v>6</v>
      </c>
      <c r="U13" s="108" t="str">
        <f t="shared" si="8"/>
        <v>*</v>
      </c>
      <c r="V13" s="105">
        <f t="shared" si="9"/>
        <v>9.0628205128205117</v>
      </c>
      <c r="X13" s="109">
        <f t="shared" si="10"/>
        <v>10</v>
      </c>
      <c r="Y13" s="110">
        <f t="shared" si="11"/>
        <v>7.0930999999999994E-2</v>
      </c>
      <c r="Z13" s="111">
        <f t="shared" si="12"/>
        <v>28.104082480042116</v>
      </c>
      <c r="AB13" s="102" t="str">
        <f t="shared" si="13"/>
        <v>malelength</v>
      </c>
      <c r="AC13" s="102" t="str">
        <f t="shared" si="14"/>
        <v>MXM2</v>
      </c>
      <c r="AD13">
        <v>12.73</v>
      </c>
      <c r="AE13">
        <v>0.12</v>
      </c>
      <c r="AF13">
        <v>-0.45</v>
      </c>
      <c r="AG13">
        <v>7.0000000000000007E-2</v>
      </c>
      <c r="AH13">
        <v>35</v>
      </c>
      <c r="AI13">
        <v>1.600799E-3</v>
      </c>
      <c r="AJ13">
        <v>0.30523820000000002</v>
      </c>
      <c r="AK13" s="42"/>
      <c r="AL13" s="112">
        <f t="shared" si="15"/>
        <v>-6.4285714285714279</v>
      </c>
      <c r="AM13" s="106">
        <f t="shared" si="16"/>
        <v>2.4041007633331904E-7</v>
      </c>
      <c r="AN13" s="106">
        <f t="shared" si="17"/>
        <v>8.3333333333333332E-3</v>
      </c>
      <c r="AO13" s="107">
        <f t="shared" si="18"/>
        <v>6</v>
      </c>
      <c r="AP13" s="108" t="str">
        <f t="shared" si="19"/>
        <v>n.s.</v>
      </c>
      <c r="AR13" s="113">
        <f t="shared" si="20"/>
        <v>1.600799E-3</v>
      </c>
      <c r="AS13" s="104">
        <f t="shared" si="21"/>
        <v>35</v>
      </c>
      <c r="AT13" s="103">
        <v>0</v>
      </c>
      <c r="AU13" s="113">
        <f t="shared" si="22"/>
        <v>0.39769404433231709</v>
      </c>
      <c r="AV13" s="113">
        <f t="shared" si="23"/>
        <v>4.0252023454048925E-3</v>
      </c>
      <c r="AW13" s="103" t="s">
        <v>34</v>
      </c>
      <c r="AX13" s="106">
        <f t="shared" si="24"/>
        <v>0.99678844215794249</v>
      </c>
      <c r="AY13" s="106">
        <f t="shared" si="25"/>
        <v>8.3333333333333332E-3</v>
      </c>
      <c r="AZ13" s="107">
        <f t="shared" si="26"/>
        <v>6</v>
      </c>
      <c r="BA13" s="108" t="str">
        <f t="shared" si="27"/>
        <v>n.s.</v>
      </c>
      <c r="BC13" s="113">
        <f t="shared" si="28"/>
        <v>0.30523820000000002</v>
      </c>
      <c r="BD13" s="104">
        <f t="shared" si="29"/>
        <v>35</v>
      </c>
      <c r="BE13" s="103">
        <v>0</v>
      </c>
      <c r="BF13" s="113">
        <f t="shared" si="30"/>
        <v>0.77779439110380311</v>
      </c>
      <c r="BG13" s="113">
        <f t="shared" si="31"/>
        <v>0.39244073175537136</v>
      </c>
      <c r="BH13" s="103" t="s">
        <v>34</v>
      </c>
      <c r="BI13" s="104">
        <f t="shared" si="32"/>
        <v>0.69474095924698387</v>
      </c>
      <c r="BJ13" s="106">
        <f t="shared" si="33"/>
        <v>8.3333333333333332E-3</v>
      </c>
      <c r="BK13" s="107">
        <f t="shared" si="34"/>
        <v>6</v>
      </c>
      <c r="BL13" s="108" t="str">
        <f t="shared" si="35"/>
        <v>n.s.</v>
      </c>
    </row>
    <row r="14" spans="1:64" s="104" customFormat="1" ht="15">
      <c r="A14" s="117" t="s">
        <v>134</v>
      </c>
      <c r="B14" s="117" t="s">
        <v>123</v>
      </c>
      <c r="C14" s="117"/>
      <c r="D14" s="117">
        <v>27.789000000000001</v>
      </c>
      <c r="E14" s="117">
        <v>1</v>
      </c>
      <c r="F14" s="117">
        <v>15.97</v>
      </c>
      <c r="G14" s="117">
        <v>15</v>
      </c>
      <c r="H14" s="117">
        <v>0.42499999999999999</v>
      </c>
      <c r="I14" s="117">
        <v>15</v>
      </c>
      <c r="J14" s="117">
        <v>3.5000000000000003E-2</v>
      </c>
      <c r="K14" s="117">
        <v>288</v>
      </c>
      <c r="L14"/>
      <c r="M14" s="105">
        <f t="shared" si="0"/>
        <v>65.385882352941181</v>
      </c>
      <c r="N14" s="104">
        <f t="shared" si="1"/>
        <v>7.5448242054389098E-7</v>
      </c>
      <c r="O14" s="105">
        <f t="shared" si="2"/>
        <v>37.576470588235296</v>
      </c>
      <c r="P14" s="104">
        <f t="shared" si="3"/>
        <v>3.6174698253236843E-9</v>
      </c>
      <c r="Q14" s="105">
        <f t="shared" si="4"/>
        <v>12.142857142857141</v>
      </c>
      <c r="R14" s="104">
        <f t="shared" si="5"/>
        <v>3.4333256802333281E-23</v>
      </c>
      <c r="S14" s="106">
        <f t="shared" si="6"/>
        <v>0.01</v>
      </c>
      <c r="T14" s="107">
        <f t="shared" si="7"/>
        <v>5</v>
      </c>
      <c r="U14" s="108" t="str">
        <f t="shared" si="8"/>
        <v>*</v>
      </c>
      <c r="V14" s="105">
        <f t="shared" si="9"/>
        <v>8.2352941176470598</v>
      </c>
      <c r="X14" s="109">
        <f t="shared" si="10"/>
        <v>10</v>
      </c>
      <c r="Y14" s="110">
        <f t="shared" si="11"/>
        <v>3.9E-2</v>
      </c>
      <c r="Z14" s="111">
        <f t="shared" si="12"/>
        <v>12.626681751688059</v>
      </c>
      <c r="AB14" s="102" t="str">
        <f t="shared" si="13"/>
        <v>malelength</v>
      </c>
      <c r="AC14" s="102" t="str">
        <f t="shared" si="14"/>
        <v>MNM2</v>
      </c>
      <c r="AD14">
        <v>12.26</v>
      </c>
      <c r="AE14">
        <v>0.22</v>
      </c>
      <c r="AF14">
        <v>0.59</v>
      </c>
      <c r="AG14">
        <v>7.0000000000000007E-2</v>
      </c>
      <c r="AH14">
        <v>16</v>
      </c>
      <c r="AI14">
        <v>0.47373490000000001</v>
      </c>
      <c r="AJ14">
        <v>0.39293080000000002</v>
      </c>
      <c r="AK14" s="42"/>
      <c r="AL14" s="112">
        <f t="shared" si="15"/>
        <v>8.428571428571427</v>
      </c>
      <c r="AM14" s="106">
        <f t="shared" si="16"/>
        <v>4.502004431526624E-7</v>
      </c>
      <c r="AN14" s="106">
        <f t="shared" si="17"/>
        <v>0.01</v>
      </c>
      <c r="AO14" s="107">
        <f t="shared" si="18"/>
        <v>5</v>
      </c>
      <c r="AP14" s="108" t="str">
        <f t="shared" si="19"/>
        <v>n.s.</v>
      </c>
      <c r="AR14" s="113">
        <f t="shared" si="20"/>
        <v>0.47373490000000001</v>
      </c>
      <c r="AS14" s="104">
        <f t="shared" si="21"/>
        <v>16</v>
      </c>
      <c r="AT14" s="103">
        <v>0</v>
      </c>
      <c r="AU14" s="113">
        <f t="shared" si="22"/>
        <v>0.56430768800396502</v>
      </c>
      <c r="AV14" s="113">
        <f t="shared" si="23"/>
        <v>0.83949751185504207</v>
      </c>
      <c r="AW14" s="103" t="s">
        <v>34</v>
      </c>
      <c r="AX14" s="106">
        <f t="shared" si="24"/>
        <v>0.401210253428256</v>
      </c>
      <c r="AY14" s="106">
        <f t="shared" si="25"/>
        <v>0.01</v>
      </c>
      <c r="AZ14" s="107">
        <f t="shared" si="26"/>
        <v>5</v>
      </c>
      <c r="BA14" s="108" t="str">
        <f t="shared" si="27"/>
        <v>n.s.</v>
      </c>
      <c r="BC14" s="113">
        <f t="shared" si="28"/>
        <v>0.39293080000000002</v>
      </c>
      <c r="BD14" s="104">
        <f t="shared" si="29"/>
        <v>16</v>
      </c>
      <c r="BE14" s="103">
        <v>0</v>
      </c>
      <c r="BF14" s="113">
        <f t="shared" si="30"/>
        <v>1.0907738793870476</v>
      </c>
      <c r="BG14" s="113">
        <f t="shared" si="31"/>
        <v>0.36023121512664441</v>
      </c>
      <c r="BH14" s="103" t="s">
        <v>34</v>
      </c>
      <c r="BI14" s="104">
        <f t="shared" si="32"/>
        <v>0.71868184110056976</v>
      </c>
      <c r="BJ14" s="106">
        <f t="shared" si="33"/>
        <v>0.01</v>
      </c>
      <c r="BK14" s="107">
        <f t="shared" si="34"/>
        <v>5</v>
      </c>
      <c r="BL14" s="108" t="str">
        <f t="shared" si="35"/>
        <v>n.s.</v>
      </c>
    </row>
    <row r="15" spans="1:64" s="104" customFormat="1" ht="15">
      <c r="A15" s="117" t="s">
        <v>134</v>
      </c>
      <c r="B15" s="117" t="s">
        <v>124</v>
      </c>
      <c r="C15" s="117"/>
      <c r="D15" s="117">
        <v>20.699000000000002</v>
      </c>
      <c r="E15" s="117">
        <v>1</v>
      </c>
      <c r="F15" s="117">
        <v>15.23</v>
      </c>
      <c r="G15" s="117">
        <v>13</v>
      </c>
      <c r="H15" s="117">
        <v>0.80800000000000005</v>
      </c>
      <c r="I15" s="117">
        <v>13</v>
      </c>
      <c r="J15" s="117">
        <v>5.0630000000000001E-2</v>
      </c>
      <c r="K15" s="117">
        <v>252</v>
      </c>
      <c r="L15"/>
      <c r="M15" s="105">
        <f t="shared" si="0"/>
        <v>25.617574257425744</v>
      </c>
      <c r="N15" s="104">
        <f t="shared" si="1"/>
        <v>2.1803929472064847E-4</v>
      </c>
      <c r="O15" s="105">
        <f t="shared" si="2"/>
        <v>18.849009900990097</v>
      </c>
      <c r="P15" s="104">
        <f t="shared" si="3"/>
        <v>2.5541547556357613E-6</v>
      </c>
      <c r="Q15" s="105">
        <f t="shared" si="4"/>
        <v>15.958917637764172</v>
      </c>
      <c r="R15" s="104">
        <f t="shared" si="5"/>
        <v>2.5707560188597735E-26</v>
      </c>
      <c r="S15" s="106">
        <f t="shared" si="6"/>
        <v>1.2500000000000001E-2</v>
      </c>
      <c r="T15" s="107">
        <f t="shared" si="7"/>
        <v>4</v>
      </c>
      <c r="U15" s="108" t="str">
        <f t="shared" si="8"/>
        <v>*</v>
      </c>
      <c r="V15" s="105">
        <f t="shared" si="9"/>
        <v>6.2660891089108901</v>
      </c>
      <c r="X15" s="109">
        <f t="shared" si="10"/>
        <v>10</v>
      </c>
      <c r="Y15" s="110">
        <f t="shared" si="11"/>
        <v>7.5737000000000013E-2</v>
      </c>
      <c r="Z15" s="111">
        <f t="shared" si="12"/>
        <v>11.419546817321041</v>
      </c>
      <c r="AB15" s="102" t="str">
        <f t="shared" si="13"/>
        <v>malelength</v>
      </c>
      <c r="AC15" s="102" t="str">
        <f t="shared" si="14"/>
        <v>MNM3</v>
      </c>
      <c r="AD15">
        <v>16.66</v>
      </c>
      <c r="AE15">
        <v>0.23</v>
      </c>
      <c r="AF15">
        <v>-0.54</v>
      </c>
      <c r="AG15">
        <v>0.11</v>
      </c>
      <c r="AH15">
        <v>14</v>
      </c>
      <c r="AI15">
        <v>0.73928939999999999</v>
      </c>
      <c r="AJ15">
        <v>0.27226889999999998</v>
      </c>
      <c r="AK15" s="42"/>
      <c r="AL15" s="112">
        <f t="shared" si="15"/>
        <v>-4.9090909090909092</v>
      </c>
      <c r="AM15" s="106">
        <f t="shared" si="16"/>
        <v>2.8544195460109418E-4</v>
      </c>
      <c r="AN15" s="106">
        <f t="shared" si="17"/>
        <v>1.2500000000000001E-2</v>
      </c>
      <c r="AO15" s="107">
        <f t="shared" si="18"/>
        <v>4</v>
      </c>
      <c r="AP15" s="108" t="str">
        <f t="shared" si="19"/>
        <v>n.s.</v>
      </c>
      <c r="AR15" s="113">
        <f t="shared" si="20"/>
        <v>0.73928939999999999</v>
      </c>
      <c r="AS15" s="104">
        <f t="shared" si="21"/>
        <v>14</v>
      </c>
      <c r="AT15" s="103">
        <v>0</v>
      </c>
      <c r="AU15" s="113">
        <f t="shared" si="22"/>
        <v>0.59737990014566045</v>
      </c>
      <c r="AV15" s="113">
        <f t="shared" si="23"/>
        <v>1.2375531882136266</v>
      </c>
      <c r="AW15" s="103" t="s">
        <v>34</v>
      </c>
      <c r="AX15" s="106">
        <f t="shared" si="24"/>
        <v>0.2159108377784838</v>
      </c>
      <c r="AY15" s="106">
        <f t="shared" si="25"/>
        <v>1.2500000000000001E-2</v>
      </c>
      <c r="AZ15" s="107">
        <f t="shared" si="26"/>
        <v>4</v>
      </c>
      <c r="BA15" s="108" t="str">
        <f t="shared" si="27"/>
        <v>n.s.</v>
      </c>
      <c r="BC15" s="113">
        <f t="shared" si="28"/>
        <v>0.27226889999999998</v>
      </c>
      <c r="BD15" s="104">
        <f t="shared" si="29"/>
        <v>14</v>
      </c>
      <c r="BE15" s="103">
        <v>0</v>
      </c>
      <c r="BF15" s="113">
        <f t="shared" si="30"/>
        <v>1.1540503691056441</v>
      </c>
      <c r="BG15" s="113">
        <f t="shared" si="31"/>
        <v>0.23592462451270699</v>
      </c>
      <c r="BH15" s="103" t="s">
        <v>34</v>
      </c>
      <c r="BI15" s="104">
        <f t="shared" si="32"/>
        <v>0.81349599147068741</v>
      </c>
      <c r="BJ15" s="106">
        <f t="shared" si="33"/>
        <v>1.2500000000000001E-2</v>
      </c>
      <c r="BK15" s="107">
        <f t="shared" si="34"/>
        <v>4</v>
      </c>
      <c r="BL15" s="108" t="str">
        <f t="shared" si="35"/>
        <v>n.s.</v>
      </c>
    </row>
    <row r="16" spans="1:64" s="104" customFormat="1" ht="15">
      <c r="A16" s="117" t="s">
        <v>134</v>
      </c>
      <c r="B16" s="117" t="s">
        <v>122</v>
      </c>
      <c r="C16" s="117"/>
      <c r="D16" s="117">
        <v>7.8890000000000002</v>
      </c>
      <c r="E16" s="117">
        <v>1</v>
      </c>
      <c r="F16" s="117">
        <v>8.0109999999999992</v>
      </c>
      <c r="G16" s="117">
        <v>16</v>
      </c>
      <c r="H16" s="117">
        <v>0.55800000000000005</v>
      </c>
      <c r="I16" s="117">
        <v>16</v>
      </c>
      <c r="J16" s="117">
        <v>4.2779999999999999E-2</v>
      </c>
      <c r="K16" s="117">
        <v>306</v>
      </c>
      <c r="L16"/>
      <c r="M16" s="105">
        <f t="shared" si="0"/>
        <v>14.137992831541217</v>
      </c>
      <c r="N16" s="104">
        <f t="shared" si="1"/>
        <v>1.7110658033284627E-3</v>
      </c>
      <c r="O16" s="105">
        <f t="shared" si="2"/>
        <v>14.356630824372758</v>
      </c>
      <c r="P16" s="104">
        <f t="shared" si="3"/>
        <v>1.3719932494163541E-6</v>
      </c>
      <c r="Q16" s="105">
        <f t="shared" si="4"/>
        <v>13.043478260869566</v>
      </c>
      <c r="R16" s="104">
        <f t="shared" si="5"/>
        <v>2.524328231736919E-26</v>
      </c>
      <c r="S16" s="106">
        <f t="shared" si="6"/>
        <v>1.6666666666666666E-2</v>
      </c>
      <c r="T16" s="107">
        <f t="shared" si="7"/>
        <v>3</v>
      </c>
      <c r="U16" s="108" t="str">
        <f t="shared" si="8"/>
        <v>*</v>
      </c>
      <c r="V16" s="105">
        <f t="shared" si="9"/>
        <v>7.6666666666666652</v>
      </c>
      <c r="X16" s="109">
        <f t="shared" si="10"/>
        <v>10</v>
      </c>
      <c r="Y16" s="110">
        <f t="shared" si="11"/>
        <v>5.1521999999999998E-2</v>
      </c>
      <c r="Z16" s="111">
        <f t="shared" si="12"/>
        <v>13.636520134117093</v>
      </c>
      <c r="AB16" s="102" t="str">
        <f t="shared" si="13"/>
        <v>malelength</v>
      </c>
      <c r="AC16" s="102" t="str">
        <f t="shared" si="14"/>
        <v>MNM1</v>
      </c>
      <c r="AD16">
        <v>10.08</v>
      </c>
      <c r="AE16">
        <v>0.15</v>
      </c>
      <c r="AF16">
        <v>0.3</v>
      </c>
      <c r="AG16">
        <v>0.08</v>
      </c>
      <c r="AH16">
        <v>17</v>
      </c>
      <c r="AI16">
        <v>0.30916250000000001</v>
      </c>
      <c r="AJ16">
        <v>0.18800040000000001</v>
      </c>
      <c r="AK16" s="42"/>
      <c r="AL16" s="112">
        <f t="shared" si="15"/>
        <v>3.75</v>
      </c>
      <c r="AM16" s="106">
        <f t="shared" si="16"/>
        <v>1.7477608159158454E-3</v>
      </c>
      <c r="AN16" s="106">
        <f t="shared" si="17"/>
        <v>1.6666666666666666E-2</v>
      </c>
      <c r="AO16" s="107">
        <f t="shared" si="18"/>
        <v>3</v>
      </c>
      <c r="AP16" s="108" t="str">
        <f t="shared" si="19"/>
        <v>n.s.</v>
      </c>
      <c r="AR16" s="113">
        <f t="shared" si="20"/>
        <v>0.30916250000000001</v>
      </c>
      <c r="AS16" s="104">
        <f t="shared" si="21"/>
        <v>17</v>
      </c>
      <c r="AT16" s="103">
        <v>0</v>
      </c>
      <c r="AU16" s="113">
        <f t="shared" si="22"/>
        <v>0.54974741674902139</v>
      </c>
      <c r="AV16" s="113">
        <f t="shared" si="23"/>
        <v>0.56237190131471471</v>
      </c>
      <c r="AW16" s="103" t="s">
        <v>34</v>
      </c>
      <c r="AX16" s="106">
        <f t="shared" si="24"/>
        <v>0.5738752648973986</v>
      </c>
      <c r="AY16" s="106">
        <f t="shared" si="25"/>
        <v>1.6666666666666666E-2</v>
      </c>
      <c r="AZ16" s="107">
        <f t="shared" si="26"/>
        <v>3</v>
      </c>
      <c r="BA16" s="108" t="str">
        <f t="shared" si="27"/>
        <v>n.s.</v>
      </c>
      <c r="BC16" s="113">
        <f t="shared" si="28"/>
        <v>0.18800040000000001</v>
      </c>
      <c r="BD16" s="104">
        <f t="shared" si="29"/>
        <v>17</v>
      </c>
      <c r="BE16" s="103">
        <v>0</v>
      </c>
      <c r="BF16" s="113">
        <f t="shared" si="30"/>
        <v>1.0631978227919818</v>
      </c>
      <c r="BG16" s="113">
        <f t="shared" si="31"/>
        <v>0.17682541853434824</v>
      </c>
      <c r="BH16" s="103" t="s">
        <v>34</v>
      </c>
      <c r="BI16" s="104">
        <f t="shared" si="32"/>
        <v>0.85964910352472779</v>
      </c>
      <c r="BJ16" s="106">
        <f t="shared" si="33"/>
        <v>1.6666666666666666E-2</v>
      </c>
      <c r="BK16" s="107">
        <f t="shared" si="34"/>
        <v>3</v>
      </c>
      <c r="BL16" s="108" t="str">
        <f t="shared" si="35"/>
        <v>n.s.</v>
      </c>
    </row>
    <row r="17" spans="1:64" s="104" customFormat="1" ht="15">
      <c r="A17" s="117" t="s">
        <v>134</v>
      </c>
      <c r="B17" s="117" t="s">
        <v>128</v>
      </c>
      <c r="C17" s="117"/>
      <c r="D17" s="117">
        <v>8.3420000000000005</v>
      </c>
      <c r="E17" s="117">
        <v>1</v>
      </c>
      <c r="F17" s="117">
        <v>11.54</v>
      </c>
      <c r="G17" s="117">
        <v>32</v>
      </c>
      <c r="H17" s="117">
        <v>0.84799999999999998</v>
      </c>
      <c r="I17" s="117">
        <v>32</v>
      </c>
      <c r="J17" s="117">
        <v>4.9790000000000001E-2</v>
      </c>
      <c r="K17" s="117">
        <v>594</v>
      </c>
      <c r="L17"/>
      <c r="M17" s="105">
        <f t="shared" si="0"/>
        <v>9.8372641509433976</v>
      </c>
      <c r="N17" s="104">
        <f t="shared" si="1"/>
        <v>3.6551033152942363E-3</v>
      </c>
      <c r="O17" s="105">
        <f t="shared" si="2"/>
        <v>13.608490566037736</v>
      </c>
      <c r="P17" s="104">
        <f t="shared" si="3"/>
        <v>2.577258076637501E-11</v>
      </c>
      <c r="Q17" s="105">
        <f t="shared" si="4"/>
        <v>17.031532436232176</v>
      </c>
      <c r="R17" s="104">
        <f t="shared" si="5"/>
        <v>2.488282297973616E-64</v>
      </c>
      <c r="S17" s="106">
        <f t="shared" si="6"/>
        <v>2.5000000000000001E-2</v>
      </c>
      <c r="T17" s="107">
        <f t="shared" si="7"/>
        <v>2</v>
      </c>
      <c r="U17" s="108" t="str">
        <f t="shared" si="8"/>
        <v>*</v>
      </c>
      <c r="V17" s="105">
        <f t="shared" si="9"/>
        <v>5.871462264150944</v>
      </c>
      <c r="X17" s="109">
        <f t="shared" si="10"/>
        <v>10</v>
      </c>
      <c r="Y17" s="110">
        <f t="shared" si="11"/>
        <v>7.9821000000000003E-2</v>
      </c>
      <c r="Z17" s="111">
        <f t="shared" si="12"/>
        <v>28.347316539938127</v>
      </c>
      <c r="AB17" s="102" t="str">
        <f t="shared" si="13"/>
        <v>malelength</v>
      </c>
      <c r="AC17" s="102" t="str">
        <f t="shared" si="14"/>
        <v>MXM3</v>
      </c>
      <c r="AD17">
        <v>13.31</v>
      </c>
      <c r="AE17">
        <v>0.13</v>
      </c>
      <c r="AF17">
        <v>-0.22</v>
      </c>
      <c r="AG17">
        <v>7.0000000000000007E-2</v>
      </c>
      <c r="AH17">
        <v>33</v>
      </c>
      <c r="AI17">
        <v>0.36553750000000002</v>
      </c>
      <c r="AJ17">
        <v>9.2002810000000004E-2</v>
      </c>
      <c r="AK17" s="42"/>
      <c r="AL17" s="112">
        <f t="shared" si="15"/>
        <v>-3.1428571428571428</v>
      </c>
      <c r="AM17" s="106">
        <f t="shared" si="16"/>
        <v>3.5946336808212282E-3</v>
      </c>
      <c r="AN17" s="106">
        <f t="shared" si="17"/>
        <v>2.5000000000000001E-2</v>
      </c>
      <c r="AO17" s="107">
        <f t="shared" si="18"/>
        <v>2</v>
      </c>
      <c r="AP17" s="108" t="str">
        <f t="shared" si="19"/>
        <v>n.s.</v>
      </c>
      <c r="AR17" s="113">
        <f t="shared" si="20"/>
        <v>0.36553750000000002</v>
      </c>
      <c r="AS17" s="104">
        <f t="shared" si="21"/>
        <v>33</v>
      </c>
      <c r="AT17" s="103">
        <v>0</v>
      </c>
      <c r="AU17" s="113">
        <f t="shared" si="22"/>
        <v>0.40863543923788415</v>
      </c>
      <c r="AV17" s="113">
        <f t="shared" si="23"/>
        <v>0.89453205693989013</v>
      </c>
      <c r="AW17" s="103" t="s">
        <v>34</v>
      </c>
      <c r="AX17" s="106">
        <f t="shared" si="24"/>
        <v>0.3710588149291798</v>
      </c>
      <c r="AY17" s="106">
        <f t="shared" si="25"/>
        <v>2.5000000000000001E-2</v>
      </c>
      <c r="AZ17" s="107">
        <f t="shared" si="26"/>
        <v>2</v>
      </c>
      <c r="BA17" s="108" t="str">
        <f t="shared" si="27"/>
        <v>n.s.</v>
      </c>
      <c r="BC17" s="113">
        <f t="shared" si="28"/>
        <v>9.2002810000000004E-2</v>
      </c>
      <c r="BD17" s="104">
        <f t="shared" si="29"/>
        <v>33</v>
      </c>
      <c r="BE17" s="103">
        <v>0</v>
      </c>
      <c r="BF17" s="113">
        <f t="shared" si="30"/>
        <v>0.79841382084431844</v>
      </c>
      <c r="BG17" s="113">
        <f t="shared" si="31"/>
        <v>0.11523198571726566</v>
      </c>
      <c r="BH17" s="103" t="s">
        <v>34</v>
      </c>
      <c r="BI17" s="104">
        <f t="shared" si="32"/>
        <v>0.90826356022365995</v>
      </c>
      <c r="BJ17" s="106">
        <f t="shared" si="33"/>
        <v>2.5000000000000001E-2</v>
      </c>
      <c r="BK17" s="107">
        <f t="shared" si="34"/>
        <v>2</v>
      </c>
      <c r="BL17" s="108" t="str">
        <f t="shared" si="35"/>
        <v>n.s.</v>
      </c>
    </row>
    <row r="18" spans="1:64" s="104" customFormat="1" ht="15">
      <c r="A18" s="117" t="s">
        <v>134</v>
      </c>
      <c r="B18" s="117" t="s">
        <v>126</v>
      </c>
      <c r="C18" s="117"/>
      <c r="D18" s="117">
        <v>39.71</v>
      </c>
      <c r="E18" s="117">
        <v>1</v>
      </c>
      <c r="F18" s="117">
        <v>5.6059999999999999</v>
      </c>
      <c r="G18" s="117">
        <v>32</v>
      </c>
      <c r="H18" s="117">
        <v>0.55000000000000004</v>
      </c>
      <c r="I18" s="117">
        <v>32</v>
      </c>
      <c r="J18" s="117">
        <v>4.539E-2</v>
      </c>
      <c r="K18" s="117">
        <v>594</v>
      </c>
      <c r="L18"/>
      <c r="M18" s="105">
        <f t="shared" si="0"/>
        <v>72.199999999999989</v>
      </c>
      <c r="N18" s="104">
        <f t="shared" si="1"/>
        <v>1.0390965278206383E-9</v>
      </c>
      <c r="O18" s="105">
        <f t="shared" si="2"/>
        <v>10.192727272727272</v>
      </c>
      <c r="P18" s="104">
        <f t="shared" si="3"/>
        <v>1.3308246382936473E-9</v>
      </c>
      <c r="Q18" s="105">
        <f t="shared" si="4"/>
        <v>12.117206433135053</v>
      </c>
      <c r="R18" s="104">
        <f t="shared" si="5"/>
        <v>2.0916031105702862E-46</v>
      </c>
      <c r="S18" s="106">
        <f t="shared" si="6"/>
        <v>0.05</v>
      </c>
      <c r="T18" s="107">
        <f t="shared" si="7"/>
        <v>1</v>
      </c>
      <c r="U18" s="108" t="str">
        <f t="shared" si="8"/>
        <v>*</v>
      </c>
      <c r="V18" s="105">
        <f t="shared" si="9"/>
        <v>8.252727272727272</v>
      </c>
      <c r="X18" s="109">
        <f t="shared" si="10"/>
        <v>10</v>
      </c>
      <c r="Y18" s="110">
        <f t="shared" si="11"/>
        <v>5.0460999999999999E-2</v>
      </c>
      <c r="Z18" s="111">
        <f t="shared" si="12"/>
        <v>26.926319056930545</v>
      </c>
      <c r="AB18" s="102" t="str">
        <f t="shared" si="13"/>
        <v>malelength</v>
      </c>
      <c r="AC18" s="102" t="str">
        <f t="shared" si="14"/>
        <v>MXM1</v>
      </c>
      <c r="AD18">
        <v>10.28</v>
      </c>
      <c r="AE18">
        <v>0.09</v>
      </c>
      <c r="AF18">
        <v>-0.49</v>
      </c>
      <c r="AG18">
        <v>0.06</v>
      </c>
      <c r="AH18">
        <v>33</v>
      </c>
      <c r="AI18">
        <v>0.219134</v>
      </c>
      <c r="AJ18">
        <v>4.5053059999999999E-2</v>
      </c>
      <c r="AK18" s="42"/>
      <c r="AL18" s="112">
        <f t="shared" si="15"/>
        <v>-8.1666666666666661</v>
      </c>
      <c r="AM18" s="106">
        <f t="shared" si="16"/>
        <v>2.5052567701230493E-9</v>
      </c>
      <c r="AN18" s="106">
        <f t="shared" si="17"/>
        <v>0.05</v>
      </c>
      <c r="AO18" s="107">
        <f t="shared" si="18"/>
        <v>1</v>
      </c>
      <c r="AP18" s="108" t="str">
        <f t="shared" si="19"/>
        <v>n.s.</v>
      </c>
      <c r="AR18" s="113">
        <f t="shared" si="20"/>
        <v>0.219134</v>
      </c>
      <c r="AS18" s="104">
        <f t="shared" si="21"/>
        <v>33</v>
      </c>
      <c r="AT18" s="103">
        <v>0</v>
      </c>
      <c r="AU18" s="113">
        <f t="shared" si="22"/>
        <v>0.40863543923788415</v>
      </c>
      <c r="AV18" s="113">
        <f t="shared" si="23"/>
        <v>0.53625794279784122</v>
      </c>
      <c r="AW18" s="103" t="s">
        <v>34</v>
      </c>
      <c r="AX18" s="106">
        <f t="shared" si="24"/>
        <v>0.59179222105630758</v>
      </c>
      <c r="AY18" s="106">
        <f t="shared" si="25"/>
        <v>0.05</v>
      </c>
      <c r="AZ18" s="107">
        <f t="shared" si="26"/>
        <v>1</v>
      </c>
      <c r="BA18" s="108" t="str">
        <f t="shared" si="27"/>
        <v>n.s.</v>
      </c>
      <c r="BC18" s="113">
        <f t="shared" si="28"/>
        <v>4.5053059999999999E-2</v>
      </c>
      <c r="BD18" s="104">
        <f t="shared" si="29"/>
        <v>33</v>
      </c>
      <c r="BE18" s="103">
        <v>0</v>
      </c>
      <c r="BF18" s="113">
        <f t="shared" si="30"/>
        <v>0.79841382084431844</v>
      </c>
      <c r="BG18" s="113">
        <f t="shared" si="31"/>
        <v>5.6428206556290099E-2</v>
      </c>
      <c r="BH18" s="103" t="s">
        <v>34</v>
      </c>
      <c r="BI18" s="104">
        <f t="shared" si="32"/>
        <v>0.95500181451872579</v>
      </c>
      <c r="BJ18" s="106">
        <f t="shared" si="33"/>
        <v>0.05</v>
      </c>
      <c r="BK18" s="107">
        <f t="shared" si="34"/>
        <v>1</v>
      </c>
      <c r="BL18" s="108" t="str">
        <f t="shared" si="35"/>
        <v>n.s.</v>
      </c>
    </row>
    <row r="19" spans="1:64" ht="15.75" thickBot="1">
      <c r="D19" s="117"/>
      <c r="E19" s="117"/>
      <c r="F19" s="117"/>
      <c r="G19" s="117"/>
      <c r="H19" s="117"/>
      <c r="I19" s="117"/>
      <c r="J19" s="117"/>
      <c r="K19" s="117"/>
    </row>
    <row r="20" spans="1:64">
      <c r="A20" s="74" t="s">
        <v>35</v>
      </c>
      <c r="B20" s="75"/>
      <c r="C20" s="75"/>
      <c r="D20" s="75"/>
      <c r="E20" s="75"/>
      <c r="F20" s="75"/>
      <c r="G20" s="75"/>
      <c r="H20" s="75"/>
      <c r="I20" s="76"/>
    </row>
    <row r="21" spans="1:64">
      <c r="A21" s="77"/>
      <c r="B21" s="78"/>
      <c r="C21" s="78"/>
      <c r="D21" s="78"/>
      <c r="E21" s="78"/>
      <c r="F21" s="78"/>
      <c r="G21" s="78"/>
      <c r="H21" s="78"/>
      <c r="I21" s="79"/>
    </row>
    <row r="22" spans="1:64">
      <c r="A22" s="77" t="s">
        <v>36</v>
      </c>
      <c r="B22" s="78"/>
      <c r="C22" s="78"/>
      <c r="D22" s="78"/>
      <c r="E22" s="78"/>
      <c r="F22" s="78"/>
      <c r="G22" s="78"/>
      <c r="H22" s="78"/>
      <c r="I22" s="79"/>
    </row>
    <row r="23" spans="1:64">
      <c r="A23" s="77"/>
      <c r="B23" s="78"/>
      <c r="C23" s="78"/>
      <c r="D23" s="78"/>
      <c r="E23" s="78"/>
      <c r="F23" s="78"/>
      <c r="G23" s="78"/>
      <c r="H23" s="78"/>
      <c r="I23" s="79"/>
    </row>
    <row r="24" spans="1:64">
      <c r="A24" s="77" t="s">
        <v>37</v>
      </c>
      <c r="B24" s="78"/>
      <c r="C24" s="78"/>
      <c r="D24" s="78"/>
      <c r="E24" s="78"/>
      <c r="F24" s="78"/>
      <c r="G24" s="78"/>
      <c r="H24" s="78"/>
      <c r="I24" s="79"/>
    </row>
    <row r="25" spans="1:64">
      <c r="A25" s="77"/>
      <c r="B25" s="78"/>
      <c r="C25" s="78"/>
      <c r="D25" s="78"/>
      <c r="E25" s="78"/>
      <c r="F25" s="78"/>
      <c r="G25" s="78"/>
      <c r="H25" s="78"/>
      <c r="I25" s="79"/>
    </row>
    <row r="26" spans="1:64">
      <c r="A26" s="77" t="s">
        <v>38</v>
      </c>
      <c r="B26" s="78"/>
      <c r="C26" s="78"/>
      <c r="D26" s="78"/>
      <c r="E26" s="78"/>
      <c r="F26" s="78"/>
      <c r="G26" s="78"/>
      <c r="H26" s="78"/>
      <c r="I26" s="79"/>
    </row>
    <row r="27" spans="1:64">
      <c r="A27" s="77"/>
      <c r="B27" s="78"/>
      <c r="C27" s="78"/>
      <c r="D27" s="78"/>
      <c r="E27" s="78"/>
      <c r="F27" s="78"/>
      <c r="G27" s="78"/>
      <c r="H27" s="78"/>
      <c r="I27" s="79"/>
    </row>
    <row r="28" spans="1:64">
      <c r="A28" s="80" t="s">
        <v>39</v>
      </c>
      <c r="B28" s="78"/>
      <c r="C28" s="78"/>
      <c r="D28" s="78"/>
      <c r="E28" s="78"/>
      <c r="F28" s="78"/>
      <c r="G28" s="78"/>
      <c r="H28" s="78"/>
      <c r="I28" s="79"/>
    </row>
    <row r="29" spans="1:64">
      <c r="A29" s="77" t="s">
        <v>40</v>
      </c>
      <c r="B29" s="78"/>
      <c r="C29" s="78"/>
      <c r="D29" s="78"/>
      <c r="E29" s="78"/>
      <c r="F29" s="78"/>
      <c r="G29" s="78"/>
      <c r="H29" s="78"/>
      <c r="I29" s="79"/>
    </row>
    <row r="30" spans="1:64">
      <c r="A30" s="80"/>
      <c r="B30" s="78"/>
      <c r="C30" s="78"/>
      <c r="D30" s="78"/>
      <c r="E30" s="78"/>
      <c r="F30" s="78"/>
      <c r="G30" s="78"/>
      <c r="H30" s="78"/>
      <c r="I30" s="79"/>
    </row>
    <row r="31" spans="1:64">
      <c r="A31" s="77" t="s">
        <v>58</v>
      </c>
      <c r="B31" s="78"/>
      <c r="C31" s="78"/>
      <c r="D31" s="78"/>
      <c r="E31" s="78"/>
      <c r="F31" s="78"/>
      <c r="G31" s="78"/>
      <c r="H31" s="78"/>
      <c r="I31" s="79"/>
    </row>
    <row r="32" spans="1:64">
      <c r="A32" s="80" t="s">
        <v>44</v>
      </c>
      <c r="B32" s="78"/>
      <c r="C32" s="78"/>
      <c r="D32" s="78"/>
      <c r="E32" s="78"/>
      <c r="F32" s="78"/>
      <c r="G32" s="78"/>
      <c r="H32" s="78"/>
      <c r="I32" s="79"/>
    </row>
    <row r="33" spans="1:9">
      <c r="A33" s="77" t="s">
        <v>59</v>
      </c>
      <c r="B33" s="78"/>
      <c r="C33" s="78"/>
      <c r="D33" s="78"/>
      <c r="E33" s="78"/>
      <c r="F33" s="78"/>
      <c r="G33" s="78"/>
      <c r="H33" s="78"/>
      <c r="I33" s="79"/>
    </row>
    <row r="34" spans="1:9">
      <c r="A34" s="80" t="s">
        <v>60</v>
      </c>
      <c r="B34" s="78"/>
      <c r="C34" s="78"/>
      <c r="D34" s="78"/>
      <c r="E34" s="78"/>
      <c r="F34" s="78"/>
      <c r="G34" s="78"/>
      <c r="H34" s="78"/>
      <c r="I34" s="79"/>
    </row>
    <row r="35" spans="1:9">
      <c r="A35" s="80" t="s">
        <v>61</v>
      </c>
      <c r="B35" s="78"/>
      <c r="C35" s="78"/>
      <c r="D35" s="78"/>
      <c r="E35" s="78"/>
      <c r="F35" s="78"/>
      <c r="G35" s="78"/>
      <c r="H35" s="78"/>
      <c r="I35" s="79"/>
    </row>
    <row r="36" spans="1:9">
      <c r="A36" s="80" t="s">
        <v>62</v>
      </c>
      <c r="B36" s="78"/>
      <c r="C36" s="78"/>
      <c r="D36" s="78"/>
      <c r="E36" s="78"/>
      <c r="F36" s="78"/>
      <c r="G36" s="78"/>
      <c r="H36" s="78"/>
      <c r="I36" s="79"/>
    </row>
    <row r="37" spans="1:9">
      <c r="A37" s="77"/>
      <c r="B37" s="78"/>
      <c r="C37" s="78"/>
      <c r="D37" s="78"/>
      <c r="E37" s="78"/>
      <c r="F37" s="78"/>
      <c r="G37" s="78"/>
      <c r="H37" s="78"/>
      <c r="I37" s="79"/>
    </row>
    <row r="38" spans="1:9">
      <c r="A38" s="77" t="s">
        <v>63</v>
      </c>
      <c r="B38" s="78"/>
      <c r="C38" s="78"/>
      <c r="D38" s="78"/>
      <c r="E38" s="78"/>
      <c r="F38" s="78"/>
      <c r="G38" s="78"/>
      <c r="H38" s="78"/>
      <c r="I38" s="79"/>
    </row>
    <row r="39" spans="1:9">
      <c r="A39" s="77" t="s">
        <v>64</v>
      </c>
      <c r="B39" s="78"/>
      <c r="C39" s="78"/>
      <c r="D39" s="78"/>
      <c r="E39" s="78"/>
      <c r="F39" s="78"/>
      <c r="G39" s="78"/>
      <c r="H39" s="78"/>
      <c r="I39" s="79"/>
    </row>
    <row r="40" spans="1:9">
      <c r="A40" s="80"/>
      <c r="B40" s="78"/>
      <c r="C40" s="78"/>
      <c r="D40" s="78"/>
      <c r="E40" s="78"/>
      <c r="F40" s="78"/>
      <c r="G40" s="78"/>
      <c r="H40" s="78"/>
      <c r="I40" s="79"/>
    </row>
    <row r="41" spans="1:9">
      <c r="A41" s="80" t="s">
        <v>65</v>
      </c>
      <c r="B41" s="78"/>
      <c r="C41" s="78"/>
      <c r="D41" s="78"/>
      <c r="E41" s="78"/>
      <c r="F41" s="78"/>
      <c r="G41" s="78"/>
      <c r="H41" s="78"/>
      <c r="I41" s="79"/>
    </row>
    <row r="42" spans="1:9">
      <c r="A42" s="77" t="s">
        <v>66</v>
      </c>
      <c r="B42" s="78"/>
      <c r="C42" s="78"/>
      <c r="D42" s="78"/>
      <c r="E42" s="78"/>
      <c r="F42" s="78"/>
      <c r="G42" s="78"/>
      <c r="H42" s="78"/>
      <c r="I42" s="79"/>
    </row>
    <row r="43" spans="1:9">
      <c r="A43" s="77"/>
      <c r="B43" s="78"/>
      <c r="C43" s="78"/>
      <c r="D43" s="78"/>
      <c r="E43" s="78"/>
      <c r="F43" s="78"/>
      <c r="G43" s="78"/>
      <c r="H43" s="78"/>
      <c r="I43" s="79"/>
    </row>
    <row r="44" spans="1:9">
      <c r="A44" s="77" t="s">
        <v>67</v>
      </c>
      <c r="B44" s="78"/>
      <c r="C44" s="78"/>
      <c r="D44" s="78"/>
      <c r="E44" s="78"/>
      <c r="F44" s="78"/>
      <c r="G44" s="78"/>
      <c r="H44" s="78"/>
      <c r="I44" s="79"/>
    </row>
    <row r="45" spans="1:9">
      <c r="A45" s="80" t="s">
        <v>44</v>
      </c>
      <c r="B45" s="78"/>
      <c r="C45" s="78"/>
      <c r="D45" s="78"/>
      <c r="E45" s="78"/>
      <c r="F45" s="78"/>
      <c r="G45" s="78"/>
      <c r="H45" s="78"/>
      <c r="I45" s="79"/>
    </row>
    <row r="46" spans="1:9">
      <c r="A46" s="77" t="s">
        <v>45</v>
      </c>
      <c r="B46" s="78"/>
      <c r="C46" s="78"/>
      <c r="D46" s="78"/>
      <c r="E46" s="78"/>
      <c r="F46" s="78"/>
      <c r="G46" s="78"/>
      <c r="H46" s="78"/>
      <c r="I46" s="79"/>
    </row>
    <row r="47" spans="1:9">
      <c r="A47" s="77" t="s">
        <v>46</v>
      </c>
      <c r="B47" s="78"/>
      <c r="C47" s="78"/>
      <c r="D47" s="78"/>
      <c r="E47" s="78"/>
      <c r="F47" s="78"/>
      <c r="G47" s="78"/>
      <c r="H47" s="78"/>
      <c r="I47" s="79"/>
    </row>
    <row r="48" spans="1:9">
      <c r="A48" s="77" t="s">
        <v>47</v>
      </c>
      <c r="B48" s="78"/>
      <c r="C48" s="78"/>
      <c r="D48" s="78"/>
      <c r="E48" s="78"/>
      <c r="F48" s="78"/>
      <c r="G48" s="78"/>
      <c r="H48" s="78"/>
      <c r="I48" s="79"/>
    </row>
    <row r="49" spans="1:9">
      <c r="A49" s="77"/>
      <c r="B49" s="78"/>
      <c r="C49" s="78"/>
      <c r="D49" s="78"/>
      <c r="E49" s="78"/>
      <c r="F49" s="78"/>
      <c r="G49" s="78"/>
      <c r="H49" s="78"/>
      <c r="I49" s="79"/>
    </row>
    <row r="50" spans="1:9">
      <c r="A50" s="77" t="s">
        <v>68</v>
      </c>
      <c r="B50" s="78"/>
      <c r="C50" s="78"/>
      <c r="D50" s="78"/>
      <c r="E50" s="78"/>
      <c r="F50" s="78"/>
      <c r="G50" s="78"/>
      <c r="H50" s="78"/>
      <c r="I50" s="79"/>
    </row>
    <row r="51" spans="1:9">
      <c r="A51" s="77" t="s">
        <v>77</v>
      </c>
      <c r="B51" s="78"/>
      <c r="C51" s="78"/>
      <c r="D51" s="78"/>
      <c r="E51" s="78"/>
      <c r="F51" s="78"/>
      <c r="G51" s="78"/>
      <c r="H51" s="78"/>
      <c r="I51" s="79"/>
    </row>
    <row r="52" spans="1:9">
      <c r="A52" s="77" t="s">
        <v>78</v>
      </c>
      <c r="B52" s="78"/>
      <c r="C52" s="78"/>
      <c r="D52" s="78"/>
      <c r="E52" s="78"/>
      <c r="F52" s="78"/>
      <c r="G52" s="78"/>
      <c r="H52" s="78"/>
      <c r="I52" s="79"/>
    </row>
    <row r="53" spans="1:9">
      <c r="A53" s="77" t="s">
        <v>79</v>
      </c>
      <c r="B53" s="78"/>
      <c r="C53" s="78"/>
      <c r="D53" s="78"/>
      <c r="E53" s="78"/>
      <c r="F53" s="78"/>
      <c r="G53" s="78"/>
      <c r="H53" s="78"/>
      <c r="I53" s="79"/>
    </row>
    <row r="54" spans="1:9">
      <c r="A54" s="77" t="s">
        <v>80</v>
      </c>
      <c r="B54" s="78"/>
      <c r="C54" s="78"/>
      <c r="D54" s="78"/>
      <c r="E54" s="78"/>
      <c r="F54" s="78"/>
      <c r="G54" s="78"/>
      <c r="H54" s="78"/>
      <c r="I54" s="79"/>
    </row>
    <row r="55" spans="1:9">
      <c r="A55" s="77" t="s">
        <v>81</v>
      </c>
      <c r="B55" s="78"/>
      <c r="C55" s="78"/>
      <c r="D55" s="78"/>
      <c r="E55" s="78"/>
      <c r="F55" s="78"/>
      <c r="G55" s="78"/>
      <c r="H55" s="78"/>
      <c r="I55" s="79"/>
    </row>
    <row r="56" spans="1:9">
      <c r="A56" s="77" t="s">
        <v>82</v>
      </c>
      <c r="B56" s="78"/>
      <c r="C56" s="78"/>
      <c r="D56" s="78"/>
      <c r="E56" s="78"/>
      <c r="F56" s="78"/>
      <c r="G56" s="78"/>
      <c r="H56" s="78"/>
      <c r="I56" s="79"/>
    </row>
    <row r="57" spans="1:9">
      <c r="A57" s="77" t="s">
        <v>83</v>
      </c>
      <c r="B57" s="78"/>
      <c r="C57" s="78"/>
      <c r="D57" s="78"/>
      <c r="E57" s="78"/>
      <c r="F57" s="78"/>
      <c r="G57" s="78"/>
      <c r="H57" s="78"/>
      <c r="I57" s="79"/>
    </row>
    <row r="58" spans="1:9">
      <c r="A58" s="77" t="s">
        <v>84</v>
      </c>
      <c r="B58" s="78"/>
      <c r="C58" s="78"/>
      <c r="D58" s="78"/>
      <c r="E58" s="78"/>
      <c r="F58" s="78"/>
      <c r="G58" s="78"/>
      <c r="H58" s="78"/>
      <c r="I58" s="79"/>
    </row>
    <row r="59" spans="1:9">
      <c r="A59" s="77" t="s">
        <v>85</v>
      </c>
      <c r="B59" s="78"/>
      <c r="C59" s="78"/>
      <c r="D59" s="78"/>
      <c r="E59" s="78"/>
      <c r="F59" s="78"/>
      <c r="G59" s="78"/>
      <c r="H59" s="78"/>
      <c r="I59" s="79"/>
    </row>
    <row r="60" spans="1:9">
      <c r="A60" s="77"/>
      <c r="B60" s="78"/>
      <c r="C60" s="78"/>
      <c r="D60" s="78"/>
      <c r="E60" s="78"/>
      <c r="F60" s="78"/>
      <c r="G60" s="78"/>
      <c r="H60" s="78"/>
      <c r="I60" s="79"/>
    </row>
    <row r="61" spans="1:9">
      <c r="A61" s="77" t="s">
        <v>57</v>
      </c>
      <c r="B61" s="78"/>
      <c r="C61" s="78"/>
      <c r="D61" s="78"/>
      <c r="E61" s="78"/>
      <c r="F61" s="78"/>
      <c r="G61" s="78"/>
      <c r="H61" s="78"/>
      <c r="I61" s="79"/>
    </row>
    <row r="62" spans="1:9">
      <c r="A62" s="77" t="s">
        <v>86</v>
      </c>
      <c r="B62" s="78"/>
      <c r="C62" s="78"/>
      <c r="D62" s="78"/>
      <c r="E62" s="78"/>
      <c r="F62" s="78"/>
      <c r="G62" s="78"/>
      <c r="H62" s="78"/>
      <c r="I62" s="79"/>
    </row>
    <row r="63" spans="1:9">
      <c r="A63" s="115" t="s">
        <v>87</v>
      </c>
      <c r="B63" s="78"/>
      <c r="C63" s="78"/>
      <c r="D63" s="78"/>
      <c r="E63" s="78"/>
      <c r="F63" s="78"/>
      <c r="G63" s="78"/>
      <c r="H63" s="78"/>
      <c r="I63" s="79"/>
    </row>
    <row r="64" spans="1:9">
      <c r="A64" s="77"/>
      <c r="B64" s="78"/>
      <c r="C64" s="78"/>
      <c r="D64" s="78"/>
      <c r="E64" s="78"/>
      <c r="F64" s="78"/>
      <c r="G64" s="78"/>
      <c r="H64" s="78"/>
      <c r="I64" s="79"/>
    </row>
    <row r="65" spans="1:9">
      <c r="A65" s="116" t="s">
        <v>48</v>
      </c>
      <c r="B65" s="78"/>
      <c r="C65" s="78"/>
      <c r="D65" s="78"/>
      <c r="E65" s="78"/>
      <c r="F65" s="78"/>
      <c r="G65" s="78"/>
      <c r="H65" s="78"/>
      <c r="I65" s="79"/>
    </row>
    <row r="66" spans="1:9">
      <c r="A66" s="77" t="s">
        <v>49</v>
      </c>
      <c r="B66" s="78"/>
      <c r="C66" s="78"/>
      <c r="D66" s="78"/>
      <c r="E66" s="78"/>
      <c r="F66" s="78"/>
      <c r="G66" s="78"/>
      <c r="H66" s="78"/>
      <c r="I66" s="79"/>
    </row>
    <row r="67" spans="1:9">
      <c r="A67" s="77" t="s">
        <v>50</v>
      </c>
      <c r="B67" s="78"/>
      <c r="C67" s="78"/>
      <c r="D67" s="78"/>
      <c r="E67" s="78"/>
      <c r="F67" s="78"/>
      <c r="G67" s="78"/>
      <c r="H67" s="78"/>
      <c r="I67" s="79"/>
    </row>
    <row r="68" spans="1:9">
      <c r="A68" s="77" t="s">
        <v>51</v>
      </c>
      <c r="B68" s="78"/>
      <c r="C68" s="78"/>
      <c r="D68" s="78"/>
      <c r="E68" s="78"/>
      <c r="F68" s="78"/>
      <c r="G68" s="78"/>
      <c r="H68" s="78"/>
      <c r="I68" s="79"/>
    </row>
    <row r="69" spans="1:9">
      <c r="A69" s="77" t="s">
        <v>52</v>
      </c>
      <c r="B69" s="78"/>
      <c r="C69" s="78"/>
      <c r="D69" s="78"/>
      <c r="E69" s="78"/>
      <c r="F69" s="78"/>
      <c r="G69" s="78"/>
      <c r="H69" s="78"/>
      <c r="I69" s="79"/>
    </row>
    <row r="70" spans="1:9">
      <c r="A70" s="77" t="s">
        <v>53</v>
      </c>
      <c r="B70" s="78"/>
      <c r="C70" s="78"/>
      <c r="D70" s="78"/>
      <c r="E70" s="78"/>
      <c r="F70" s="78"/>
      <c r="G70" s="78"/>
      <c r="H70" s="78"/>
      <c r="I70" s="79"/>
    </row>
    <row r="71" spans="1:9">
      <c r="A71" s="77" t="s">
        <v>54</v>
      </c>
      <c r="B71" s="78"/>
      <c r="C71" s="78"/>
      <c r="D71" s="78"/>
      <c r="E71" s="78"/>
      <c r="F71" s="78"/>
      <c r="G71" s="78"/>
      <c r="H71" s="78"/>
      <c r="I71" s="79"/>
    </row>
    <row r="72" spans="1:9">
      <c r="A72" s="77" t="s">
        <v>56</v>
      </c>
      <c r="B72" s="78"/>
      <c r="C72" s="78"/>
      <c r="D72" s="78"/>
      <c r="E72" s="78"/>
      <c r="F72" s="78"/>
      <c r="G72" s="78"/>
      <c r="H72" s="78"/>
      <c r="I72" s="79"/>
    </row>
    <row r="73" spans="1:9" ht="13.5" thickBot="1">
      <c r="A73" s="81" t="s">
        <v>55</v>
      </c>
      <c r="B73" s="82"/>
      <c r="C73" s="82"/>
      <c r="D73" s="82"/>
      <c r="E73" s="82"/>
      <c r="F73" s="82"/>
      <c r="G73" s="82"/>
      <c r="H73" s="82"/>
      <c r="I73" s="83"/>
    </row>
  </sheetData>
  <sortState xmlns:xlrd2="http://schemas.microsoft.com/office/spreadsheetml/2017/richdata2" ref="A10:XFD18">
    <sortCondition ref="BI10:BI1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female-breadths</vt:lpstr>
      <vt:lpstr>female-lengths</vt:lpstr>
      <vt:lpstr>male-breadths</vt:lpstr>
      <vt:lpstr>male-lengths</vt:lpstr>
    </vt:vector>
  </TitlesOfParts>
  <Company>University of Alberta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Palmer</dc:creator>
  <cp:lastModifiedBy>Kara Hoover</cp:lastModifiedBy>
  <dcterms:created xsi:type="dcterms:W3CDTF">2001-03-05T15:38:33Z</dcterms:created>
  <dcterms:modified xsi:type="dcterms:W3CDTF">2026-03-20T13:58:43Z</dcterms:modified>
</cp:coreProperties>
</file>